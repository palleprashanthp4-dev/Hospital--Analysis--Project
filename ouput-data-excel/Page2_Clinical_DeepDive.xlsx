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l Deep-D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0.0"/>
    <numFmt numFmtId="167" formatCode="+0.0;-0.0;0.0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93C5FD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111827"/>
      <sz val="10"/>
    </font>
    <font>
      <name val="Arial"/>
      <b val="1"/>
      <color rgb="00111827"/>
      <sz val="11"/>
    </font>
    <font>
      <name val="Arial"/>
      <b val="1"/>
      <color rgb="004F46E5"/>
      <sz val="11"/>
    </font>
    <font>
      <name val="Arial"/>
      <b val="1"/>
      <color rgb="00DC2626"/>
      <sz val="10"/>
    </font>
    <font>
      <name val="Arial"/>
      <b val="1"/>
      <color rgb="00D97706"/>
      <sz val="10"/>
    </font>
    <font>
      <name val="Arial"/>
      <b val="1"/>
      <color rgb="000891B2"/>
      <sz val="10"/>
    </font>
    <font>
      <name val="Arial"/>
      <b val="1"/>
      <color rgb="00059669"/>
      <sz val="10"/>
    </font>
    <font>
      <name val="Arial"/>
      <b val="1"/>
      <color rgb="00B91C1C"/>
      <sz val="11"/>
    </font>
    <font>
      <name val="Arial"/>
      <color rgb="0064748B"/>
      <sz val="10"/>
    </font>
    <font>
      <name val="Arial"/>
      <color rgb="00DC2626"/>
      <sz val="10"/>
    </font>
    <font>
      <name val="Arial"/>
      <color rgb="00059669"/>
      <sz val="10"/>
    </font>
    <font>
      <name val="Arial"/>
      <b val="1"/>
      <color rgb="001E40AF"/>
      <sz val="11"/>
    </font>
    <font>
      <name val="Arial"/>
      <b val="1"/>
      <color rgb="00DC2626"/>
      <sz val="11"/>
    </font>
  </fonts>
  <fills count="13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3730A3"/>
      </patternFill>
    </fill>
    <fill>
      <patternFill patternType="solid">
        <fgColor rgb="004F46E5"/>
      </patternFill>
    </fill>
    <fill>
      <patternFill patternType="solid">
        <fgColor rgb="00EDE9FE"/>
      </patternFill>
    </fill>
    <fill>
      <patternFill patternType="solid">
        <fgColor rgb="007F1D1D"/>
      </patternFill>
    </fill>
    <fill>
      <patternFill patternType="solid">
        <fgColor rgb="00B91C1C"/>
      </patternFill>
    </fill>
    <fill>
      <patternFill patternType="solid">
        <fgColor rgb="00FEF2F2"/>
      </patternFill>
    </fill>
    <fill>
      <patternFill patternType="solid">
        <fgColor rgb="001E40AF"/>
      </patternFill>
    </fill>
    <fill>
      <patternFill patternType="solid">
        <fgColor rgb="00EFF6FF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3" fontId="6" fillId="0" borderId="1" pivotButton="0" quotePrefix="0" xfId="0"/>
    <xf numFmtId="164" fontId="5" fillId="0" borderId="1" pivotButton="0" quotePrefix="0" xfId="0"/>
    <xf numFmtId="0" fontId="5" fillId="6" borderId="1" pivotButton="0" quotePrefix="0" xfId="0"/>
    <xf numFmtId="3" fontId="5" fillId="6" borderId="1" pivotButton="0" quotePrefix="0" xfId="0"/>
    <xf numFmtId="3" fontId="6" fillId="6" borderId="1" pivotButton="0" quotePrefix="0" xfId="0"/>
    <xf numFmtId="164" fontId="5" fillId="6" borderId="1" pivotButton="0" quotePrefix="0" xfId="0"/>
    <xf numFmtId="0" fontId="7" fillId="0" borderId="0" pivotButton="0" quotePrefix="0" xfId="0"/>
    <xf numFmtId="3" fontId="8" fillId="0" borderId="1" pivotButton="0" quotePrefix="0" xfId="0"/>
    <xf numFmtId="0" fontId="3" fillId="7" borderId="0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165" fontId="5" fillId="0" borderId="1" pivotButton="0" quotePrefix="0" xfId="0"/>
    <xf numFmtId="0" fontId="9" fillId="0" borderId="1" pivotButton="0" quotePrefix="0" xfId="0"/>
    <xf numFmtId="0" fontId="5" fillId="9" borderId="1" pivotButton="0" quotePrefix="0" xfId="0"/>
    <xf numFmtId="165" fontId="5" fillId="9" borderId="1" pivotButton="0" quotePrefix="0" xfId="0"/>
    <xf numFmtId="0" fontId="9" fillId="9" borderId="1" pivotButton="0" quotePrefix="0" xfId="0"/>
    <xf numFmtId="0" fontId="10" fillId="9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1" fillId="9" borderId="1" pivotButton="0" quotePrefix="0" xfId="0"/>
    <xf numFmtId="0" fontId="12" fillId="0" borderId="1" pivotButton="0" quotePrefix="0" xfId="0"/>
    <xf numFmtId="0" fontId="12" fillId="9" borderId="1" pivotButton="0" quotePrefix="0" xfId="0"/>
    <xf numFmtId="0" fontId="7" fillId="0" borderId="1" pivotButton="0" quotePrefix="0" xfId="0"/>
    <xf numFmtId="165" fontId="13" fillId="0" borderId="1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166" fontId="5" fillId="0" borderId="1" pivotButton="0" quotePrefix="0" xfId="0"/>
    <xf numFmtId="166" fontId="14" fillId="0" borderId="1" pivotButton="0" quotePrefix="0" xfId="0"/>
    <xf numFmtId="167" fontId="15" fillId="0" borderId="1" pivotButton="0" quotePrefix="0" xfId="0"/>
    <xf numFmtId="0" fontId="5" fillId="11" borderId="1" pivotButton="0" quotePrefix="0" xfId="0"/>
    <xf numFmtId="166" fontId="5" fillId="11" borderId="1" pivotButton="0" quotePrefix="0" xfId="0"/>
    <xf numFmtId="0" fontId="10" fillId="11" borderId="1" pivotButton="0" quotePrefix="0" xfId="0"/>
    <xf numFmtId="166" fontId="14" fillId="11" borderId="1" pivotButton="0" quotePrefix="0" xfId="0"/>
    <xf numFmtId="167" fontId="15" fillId="11" borderId="1" pivotButton="0" quotePrefix="0" xfId="0"/>
    <xf numFmtId="167" fontId="16" fillId="11" borderId="1" pivotButton="0" quotePrefix="0" xfId="0"/>
    <xf numFmtId="167" fontId="16" fillId="0" borderId="1" pivotButton="0" quotePrefix="0" xfId="0"/>
    <xf numFmtId="0" fontId="12" fillId="11" borderId="1" pivotButton="0" quotePrefix="0" xfId="0"/>
    <xf numFmtId="166" fontId="17" fillId="0" borderId="1" pivotButton="0" quotePrefix="0" xfId="0"/>
    <xf numFmtId="0" fontId="4" fillId="1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9" borderId="1" pivotButton="0" quotePrefix="0" xfId="0"/>
    <xf numFmtId="3" fontId="5" fillId="9" borderId="1" pivotButton="0" quotePrefix="0" xfId="0"/>
    <xf numFmtId="164" fontId="5" fillId="9" borderId="1" pivotButton="0" quotePrefix="0" xfId="0"/>
    <xf numFmtId="3" fontId="1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Q3 · Disease by Gender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'Clinical Deep-Dive'!B5</f>
            </strRef>
          </tx>
          <spPr>
            <a:ln>
              <a:prstDash val="solid"/>
            </a:ln>
          </spPr>
          <cat>
            <numRef>
              <f>'Clinical Deep-Dive'!$A$6:$A$20</f>
            </numRef>
          </cat>
          <val>
            <numRef>
              <f>'Clinical Deep-Dive'!$B$6:$B$20</f>
            </numRef>
          </val>
        </ser>
        <ser>
          <idx val="1"/>
          <order val="1"/>
          <tx>
            <strRef>
              <f>'Clinical Deep-Dive'!C5</f>
            </strRef>
          </tx>
          <spPr>
            <a:ln>
              <a:prstDash val="solid"/>
            </a:ln>
          </spPr>
          <cat>
            <numRef>
              <f>'Clinical Deep-Dive'!$A$6:$A$20</f>
            </numRef>
          </cat>
          <val>
            <numRef>
              <f>'Clinical Deep-Dive'!$C$6:$C$20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Condition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Patients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Q4 · Avg Treatment Cost per Disease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'Clinical Deep-Dive'!B24</f>
            </strRef>
          </tx>
          <spPr>
            <a:ln>
              <a:prstDash val="solid"/>
            </a:ln>
          </spPr>
          <cat>
            <numRef>
              <f>'Clinical Deep-Dive'!$A$25:$A$39</f>
            </numRef>
          </cat>
          <val>
            <numRef>
              <f>'Clinical Deep-Dive'!$B$25:$B$39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Avg Cost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Condition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Q7 · Avg Length of Stay per Disease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'Clinical Deep-Dive'!B43</f>
            </strRef>
          </tx>
          <spPr>
            <a:ln>
              <a:prstDash val="solid"/>
            </a:ln>
          </spPr>
          <cat>
            <numRef>
              <f>'Clinical Deep-Dive'!$A$44:$A$58</f>
            </numRef>
          </cat>
          <val>
            <numRef>
              <f>'Clinical Deep-Dive'!$B$44:$B$58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Q10 · Readmissions by Disease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'Clinical Deep-Dive'!C62</f>
            </strRef>
          </tx>
          <spPr>
            <a:ln>
              <a:prstDash val="solid"/>
            </a:ln>
          </spPr>
          <cat>
            <numRef>
              <f>'Clinical Deep-Dive'!$B$63:$B$69</f>
            </numRef>
          </cat>
          <val>
            <numRef>
              <f>'Clinical Deep-Dive'!$C$63:$C$69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22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41</row>
      <rowOff>0</rowOff>
    </from>
    <ext cx="792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60</row>
      <rowOff>0</rowOff>
    </from>
    <ext cx="792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59669"/>
    <outlinePr summaryBelow="1" summaryRight="1"/>
    <pageSetUpPr/>
  </sheetPr>
  <dimension ref="A1:N7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8" customHeight="1">
      <c r="A1" s="1" t="inlineStr">
        <is>
          <t>🔬  PAGE 2 — CLINICAL DEEP-DIVE</t>
        </is>
      </c>
    </row>
    <row r="2" ht="20" customHeight="1">
      <c r="A2" s="2" t="inlineStr">
        <is>
          <t>Disease × Gender Analysis  |  Treatment Costs  |  Length of Stay  |  Readmission Breakdown</t>
        </is>
      </c>
    </row>
    <row r="4" ht="26" customHeight="1">
      <c r="A4" s="3" t="inlineStr">
        <is>
          <t xml:space="preserve">  Q3 · DISEASE DISTRIBUTION BY GENDER</t>
        </is>
      </c>
    </row>
    <row r="5" ht="24" customHeight="1">
      <c r="A5" s="4" t="inlineStr">
        <is>
          <t>Condition</t>
        </is>
      </c>
      <c r="B5" s="4" t="inlineStr">
        <is>
          <t>Female</t>
        </is>
      </c>
      <c r="C5" s="4" t="inlineStr">
        <is>
          <t>Male</t>
        </is>
      </c>
      <c r="D5" s="4" t="inlineStr">
        <is>
          <t>Total</t>
        </is>
      </c>
      <c r="E5" s="4" t="inlineStr">
        <is>
          <t>Female %</t>
        </is>
      </c>
      <c r="F5" s="4" t="inlineStr">
        <is>
          <t>Male %</t>
        </is>
      </c>
    </row>
    <row r="6" ht="20" customHeight="1">
      <c r="A6" s="5" t="inlineStr">
        <is>
          <t>Allergic Reaction</t>
        </is>
      </c>
      <c r="B6" s="6" t="n">
        <v>0</v>
      </c>
      <c r="C6" s="6" t="n">
        <v>66</v>
      </c>
      <c r="D6" s="7">
        <f>B6+C6</f>
        <v/>
      </c>
      <c r="E6" s="8">
        <f>IF(D6=0,"-",B6/D6)</f>
        <v/>
      </c>
      <c r="F6" s="8">
        <f>IF(D6=0,"-",C6/D6)</f>
        <v/>
      </c>
    </row>
    <row r="7" ht="20" customHeight="1">
      <c r="A7" s="9" t="inlineStr">
        <is>
          <t>Appendicitis</t>
        </is>
      </c>
      <c r="B7" s="10" t="n">
        <v>66</v>
      </c>
      <c r="C7" s="10" t="n">
        <v>0</v>
      </c>
      <c r="D7" s="11">
        <f>B7+C7</f>
        <v/>
      </c>
      <c r="E7" s="12">
        <f>IF(D7=0,"-",B7/D7)</f>
        <v/>
      </c>
      <c r="F7" s="12">
        <f>IF(D7=0,"-",C7/D7)</f>
        <v/>
      </c>
    </row>
    <row r="8" ht="20" customHeight="1">
      <c r="A8" s="5" t="inlineStr">
        <is>
          <t>Cancer</t>
        </is>
      </c>
      <c r="B8" s="6" t="n">
        <v>66</v>
      </c>
      <c r="C8" s="6" t="n">
        <v>0</v>
      </c>
      <c r="D8" s="7">
        <f>B8+C8</f>
        <v/>
      </c>
      <c r="E8" s="8">
        <f>IF(D8=0,"-",B8/D8)</f>
        <v/>
      </c>
      <c r="F8" s="8">
        <f>IF(D8=0,"-",C8/D8)</f>
        <v/>
      </c>
    </row>
    <row r="9" ht="20" customHeight="1">
      <c r="A9" s="9" t="inlineStr">
        <is>
          <t>Childbirth</t>
        </is>
      </c>
      <c r="B9" s="10" t="n">
        <v>65</v>
      </c>
      <c r="C9" s="10" t="n">
        <v>0</v>
      </c>
      <c r="D9" s="11">
        <f>B9+C9</f>
        <v/>
      </c>
      <c r="E9" s="12">
        <f>IF(D9=0,"-",B9/D9)</f>
        <v/>
      </c>
      <c r="F9" s="12">
        <f>IF(D9=0,"-",C9/D9)</f>
        <v/>
      </c>
    </row>
    <row r="10" ht="20" customHeight="1">
      <c r="A10" s="5" t="inlineStr">
        <is>
          <t>Diabetes</t>
        </is>
      </c>
      <c r="B10" s="6" t="n">
        <v>0</v>
      </c>
      <c r="C10" s="6" t="n">
        <v>65</v>
      </c>
      <c r="D10" s="7">
        <f>B10+C10</f>
        <v/>
      </c>
      <c r="E10" s="8">
        <f>IF(D10=0,"-",B10/D10)</f>
        <v/>
      </c>
      <c r="F10" s="8">
        <f>IF(D10=0,"-",C10/D10)</f>
        <v/>
      </c>
    </row>
    <row r="11" ht="20" customHeight="1">
      <c r="A11" s="9" t="inlineStr">
        <is>
          <t>Fractured Arm</t>
        </is>
      </c>
      <c r="B11" s="10" t="n">
        <v>66</v>
      </c>
      <c r="C11" s="10" t="n">
        <v>0</v>
      </c>
      <c r="D11" s="11">
        <f>B11+C11</f>
        <v/>
      </c>
      <c r="E11" s="12">
        <f>IF(D11=0,"-",B11/D11)</f>
        <v/>
      </c>
      <c r="F11" s="12">
        <f>IF(D11=0,"-",C11/D11)</f>
        <v/>
      </c>
    </row>
    <row r="12" ht="20" customHeight="1">
      <c r="A12" s="5" t="inlineStr">
        <is>
          <t>Fractured Leg</t>
        </is>
      </c>
      <c r="B12" s="6" t="n">
        <v>0</v>
      </c>
      <c r="C12" s="6" t="n">
        <v>67</v>
      </c>
      <c r="D12" s="7">
        <f>B12+C12</f>
        <v/>
      </c>
      <c r="E12" s="8">
        <f>IF(D12=0,"-",B12/D12)</f>
        <v/>
      </c>
      <c r="F12" s="8">
        <f>IF(D12=0,"-",C12/D12)</f>
        <v/>
      </c>
    </row>
    <row r="13" ht="20" customHeight="1">
      <c r="A13" s="9" t="inlineStr">
        <is>
          <t>Heart Attack</t>
        </is>
      </c>
      <c r="B13" s="10" t="n">
        <v>67</v>
      </c>
      <c r="C13" s="10" t="n">
        <v>0</v>
      </c>
      <c r="D13" s="11">
        <f>B13+C13</f>
        <v/>
      </c>
      <c r="E13" s="12">
        <f>IF(D13=0,"-",B13/D13)</f>
        <v/>
      </c>
      <c r="F13" s="12">
        <f>IF(D13=0,"-",C13/D13)</f>
        <v/>
      </c>
    </row>
    <row r="14" ht="20" customHeight="1">
      <c r="A14" s="5" t="inlineStr">
        <is>
          <t>Heart Disease</t>
        </is>
      </c>
      <c r="B14" s="6" t="n">
        <v>65</v>
      </c>
      <c r="C14" s="6" t="n">
        <v>0</v>
      </c>
      <c r="D14" s="7">
        <f>B14+C14</f>
        <v/>
      </c>
      <c r="E14" s="8">
        <f>IF(D14=0,"-",B14/D14)</f>
        <v/>
      </c>
      <c r="F14" s="8">
        <f>IF(D14=0,"-",C14/D14)</f>
        <v/>
      </c>
    </row>
    <row r="15" ht="20" customHeight="1">
      <c r="A15" s="9" t="inlineStr">
        <is>
          <t>Hypertension</t>
        </is>
      </c>
      <c r="B15" s="10" t="n">
        <v>0</v>
      </c>
      <c r="C15" s="10" t="n">
        <v>66</v>
      </c>
      <c r="D15" s="11">
        <f>B15+C15</f>
        <v/>
      </c>
      <c r="E15" s="12">
        <f>IF(D15=0,"-",B15/D15)</f>
        <v/>
      </c>
      <c r="F15" s="12">
        <f>IF(D15=0,"-",C15/D15)</f>
        <v/>
      </c>
    </row>
    <row r="16" ht="20" customHeight="1">
      <c r="A16" s="5" t="inlineStr">
        <is>
          <t>Kidney Stones</t>
        </is>
      </c>
      <c r="B16" s="6" t="n">
        <v>0</v>
      </c>
      <c r="C16" s="6" t="n">
        <v>65</v>
      </c>
      <c r="D16" s="7">
        <f>B16+C16</f>
        <v/>
      </c>
      <c r="E16" s="8">
        <f>IF(D16=0,"-",B16/D16)</f>
        <v/>
      </c>
      <c r="F16" s="8">
        <f>IF(D16=0,"-",C16/D16)</f>
        <v/>
      </c>
    </row>
    <row r="17" ht="20" customHeight="1">
      <c r="A17" s="9" t="inlineStr">
        <is>
          <t>Osteoarthritis</t>
        </is>
      </c>
      <c r="B17" s="10" t="n">
        <v>64</v>
      </c>
      <c r="C17" s="10" t="n">
        <v>0</v>
      </c>
      <c r="D17" s="11">
        <f>B17+C17</f>
        <v/>
      </c>
      <c r="E17" s="12">
        <f>IF(D17=0,"-",B17/D17)</f>
        <v/>
      </c>
      <c r="F17" s="12">
        <f>IF(D17=0,"-",C17/D17)</f>
        <v/>
      </c>
    </row>
    <row r="18" ht="20" customHeight="1">
      <c r="A18" s="5" t="inlineStr">
        <is>
          <t>Prostate Cancer</t>
        </is>
      </c>
      <c r="B18" s="6" t="n">
        <v>0</v>
      </c>
      <c r="C18" s="6" t="n">
        <v>65</v>
      </c>
      <c r="D18" s="7">
        <f>B18+C18</f>
        <v/>
      </c>
      <c r="E18" s="8">
        <f>IF(D18=0,"-",B18/D18)</f>
        <v/>
      </c>
      <c r="F18" s="8">
        <f>IF(D18=0,"-",C18/D18)</f>
        <v/>
      </c>
    </row>
    <row r="19" ht="20" customHeight="1">
      <c r="A19" s="9" t="inlineStr">
        <is>
          <t>Respiratory Infection</t>
        </is>
      </c>
      <c r="B19" s="10" t="n">
        <v>65</v>
      </c>
      <c r="C19" s="10" t="n">
        <v>0</v>
      </c>
      <c r="D19" s="11">
        <f>B19+C19</f>
        <v/>
      </c>
      <c r="E19" s="12">
        <f>IF(D19=0,"-",B19/D19)</f>
        <v/>
      </c>
      <c r="F19" s="12">
        <f>IF(D19=0,"-",C19/D19)</f>
        <v/>
      </c>
    </row>
    <row r="20" ht="20" customHeight="1">
      <c r="A20" s="5" t="inlineStr">
        <is>
          <t>Stroke</t>
        </is>
      </c>
      <c r="B20" s="6" t="n">
        <v>0</v>
      </c>
      <c r="C20" s="6" t="n">
        <v>66</v>
      </c>
      <c r="D20" s="7">
        <f>B20+C20</f>
        <v/>
      </c>
      <c r="E20" s="8">
        <f>IF(D20=0,"-",B20/D20)</f>
        <v/>
      </c>
      <c r="F20" s="8">
        <f>IF(D20=0,"-",C20/D20)</f>
        <v/>
      </c>
    </row>
    <row r="21" ht="22" customHeight="1">
      <c r="A21" s="13" t="inlineStr">
        <is>
          <t>TOTAL</t>
        </is>
      </c>
      <c r="B21" s="14">
        <f>SUM(B6:B20)</f>
        <v/>
      </c>
      <c r="C21" s="14">
        <f>SUM(C6:C20)</f>
        <v/>
      </c>
      <c r="D21" s="14">
        <f>SUM(D6:D20)</f>
        <v/>
      </c>
    </row>
    <row r="23" ht="26" customHeight="1">
      <c r="A23" s="15" t="inlineStr">
        <is>
          <t xml:space="preserve">  Q4 · TREATMENT COST ANALYSIS</t>
        </is>
      </c>
    </row>
    <row r="24" ht="24" customHeight="1">
      <c r="A24" s="16" t="inlineStr">
        <is>
          <t>Condition</t>
        </is>
      </c>
      <c r="B24" s="16" t="inlineStr">
        <is>
          <t>Avg Cost ($)</t>
        </is>
      </c>
      <c r="C24" s="16" t="inlineStr">
        <is>
          <t>Total Cost ($)</t>
        </is>
      </c>
      <c r="D24" s="16" t="inlineStr">
        <is>
          <t>Min Cost</t>
        </is>
      </c>
      <c r="E24" s="16" t="inlineStr">
        <is>
          <t>Max Cost</t>
        </is>
      </c>
      <c r="F24" s="16" t="inlineStr">
        <is>
          <t>Cost Tier</t>
        </is>
      </c>
    </row>
    <row r="25" ht="20" customHeight="1">
      <c r="A25" s="5" t="inlineStr">
        <is>
          <t>Cancer</t>
        </is>
      </c>
      <c r="B25" s="17" t="n">
        <v>25000</v>
      </c>
      <c r="C25" s="17" t="n">
        <v>1650000</v>
      </c>
      <c r="D25" s="17" t="n">
        <v>25000</v>
      </c>
      <c r="E25" s="17" t="n">
        <v>25000</v>
      </c>
      <c r="F25" s="18" t="inlineStr">
        <is>
          <t>Critical</t>
        </is>
      </c>
    </row>
    <row r="26" ht="20" customHeight="1">
      <c r="A26" s="19" t="inlineStr">
        <is>
          <t>Prostate Cancer</t>
        </is>
      </c>
      <c r="B26" s="20" t="n">
        <v>20000</v>
      </c>
      <c r="C26" s="20" t="n">
        <v>1300000</v>
      </c>
      <c r="D26" s="20" t="n">
        <v>20000</v>
      </c>
      <c r="E26" s="20" t="n">
        <v>20000</v>
      </c>
      <c r="F26" s="21" t="inlineStr">
        <is>
          <t>Critical</t>
        </is>
      </c>
    </row>
    <row r="27" ht="20" customHeight="1">
      <c r="A27" s="5" t="inlineStr">
        <is>
          <t>Heart Attack</t>
        </is>
      </c>
      <c r="B27" s="17" t="n">
        <v>18000</v>
      </c>
      <c r="C27" s="17" t="n">
        <v>1206000</v>
      </c>
      <c r="D27" s="17" t="n">
        <v>18000</v>
      </c>
      <c r="E27" s="17" t="n">
        <v>18000</v>
      </c>
      <c r="F27" s="18" t="inlineStr">
        <is>
          <t>Critical</t>
        </is>
      </c>
    </row>
    <row r="28" ht="20" customHeight="1">
      <c r="A28" s="19" t="inlineStr">
        <is>
          <t>Heart Disease</t>
        </is>
      </c>
      <c r="B28" s="20" t="n">
        <v>15000</v>
      </c>
      <c r="C28" s="20" t="n">
        <v>975000</v>
      </c>
      <c r="D28" s="20" t="n">
        <v>15000</v>
      </c>
      <c r="E28" s="20" t="n">
        <v>15000</v>
      </c>
      <c r="F28" s="22" t="inlineStr">
        <is>
          <t>High</t>
        </is>
      </c>
    </row>
    <row r="29" ht="20" customHeight="1">
      <c r="A29" s="5" t="inlineStr">
        <is>
          <t>Childbirth</t>
        </is>
      </c>
      <c r="B29" s="17" t="n">
        <v>12000</v>
      </c>
      <c r="C29" s="17" t="n">
        <v>780000</v>
      </c>
      <c r="D29" s="17" t="n">
        <v>12000</v>
      </c>
      <c r="E29" s="17" t="n">
        <v>12000</v>
      </c>
      <c r="F29" s="23" t="inlineStr">
        <is>
          <t>High</t>
        </is>
      </c>
    </row>
    <row r="30" ht="20" customHeight="1">
      <c r="A30" s="19" t="inlineStr">
        <is>
          <t>Stroke</t>
        </is>
      </c>
      <c r="B30" s="20" t="n">
        <v>10000</v>
      </c>
      <c r="C30" s="20" t="n">
        <v>660000</v>
      </c>
      <c r="D30" s="20" t="n">
        <v>10000</v>
      </c>
      <c r="E30" s="20" t="n">
        <v>10000</v>
      </c>
      <c r="F30" s="22" t="inlineStr">
        <is>
          <t>High</t>
        </is>
      </c>
    </row>
    <row r="31" ht="20" customHeight="1">
      <c r="A31" s="5" t="inlineStr">
        <is>
          <t>Appendicitis</t>
        </is>
      </c>
      <c r="B31" s="17" t="n">
        <v>8000</v>
      </c>
      <c r="C31" s="17" t="n">
        <v>528000</v>
      </c>
      <c r="D31" s="17" t="n">
        <v>8000</v>
      </c>
      <c r="E31" s="17" t="n">
        <v>8000</v>
      </c>
      <c r="F31" s="24" t="inlineStr">
        <is>
          <t>Medium</t>
        </is>
      </c>
    </row>
    <row r="32" ht="20" customHeight="1">
      <c r="A32" s="19" t="inlineStr">
        <is>
          <t>Kidney Stones</t>
        </is>
      </c>
      <c r="B32" s="20" t="n">
        <v>6000</v>
      </c>
      <c r="C32" s="20" t="n">
        <v>390000</v>
      </c>
      <c r="D32" s="20" t="n">
        <v>6000</v>
      </c>
      <c r="E32" s="20" t="n">
        <v>6000</v>
      </c>
      <c r="F32" s="25" t="inlineStr">
        <is>
          <t>Medium</t>
        </is>
      </c>
    </row>
    <row r="33" ht="20" customHeight="1">
      <c r="A33" s="5" t="inlineStr">
        <is>
          <t>Osteoarthritis</t>
        </is>
      </c>
      <c r="B33" s="17" t="n">
        <v>4000</v>
      </c>
      <c r="C33" s="17" t="n">
        <v>256000</v>
      </c>
      <c r="D33" s="17" t="n">
        <v>4000</v>
      </c>
      <c r="E33" s="17" t="n">
        <v>4000</v>
      </c>
      <c r="F33" s="24" t="inlineStr">
        <is>
          <t>Medium</t>
        </is>
      </c>
    </row>
    <row r="34" ht="20" customHeight="1">
      <c r="A34" s="19" t="inlineStr">
        <is>
          <t>Fractured Leg</t>
        </is>
      </c>
      <c r="B34" s="20" t="n">
        <v>3000</v>
      </c>
      <c r="C34" s="20" t="n">
        <v>201000</v>
      </c>
      <c r="D34" s="20" t="n">
        <v>3000</v>
      </c>
      <c r="E34" s="20" t="n">
        <v>3000</v>
      </c>
      <c r="F34" s="25" t="inlineStr">
        <is>
          <t>Medium</t>
        </is>
      </c>
    </row>
    <row r="35" ht="20" customHeight="1">
      <c r="A35" s="5" t="inlineStr">
        <is>
          <t>Diabetes</t>
        </is>
      </c>
      <c r="B35" s="17" t="n">
        <v>2000</v>
      </c>
      <c r="C35" s="17" t="n">
        <v>130000</v>
      </c>
      <c r="D35" s="17" t="n">
        <v>2000</v>
      </c>
      <c r="E35" s="17" t="n">
        <v>2000</v>
      </c>
      <c r="F35" s="26" t="inlineStr">
        <is>
          <t>Low</t>
        </is>
      </c>
    </row>
    <row r="36" ht="20" customHeight="1">
      <c r="A36" s="19" t="inlineStr">
        <is>
          <t>Hypertension</t>
        </is>
      </c>
      <c r="B36" s="20" t="n">
        <v>1000</v>
      </c>
      <c r="C36" s="20" t="n">
        <v>66000</v>
      </c>
      <c r="D36" s="20" t="n">
        <v>1000</v>
      </c>
      <c r="E36" s="20" t="n">
        <v>1000</v>
      </c>
      <c r="F36" s="27" t="inlineStr">
        <is>
          <t>Low</t>
        </is>
      </c>
    </row>
    <row r="37" ht="20" customHeight="1">
      <c r="A37" s="5" t="inlineStr">
        <is>
          <t>Respiratory Infection</t>
        </is>
      </c>
      <c r="B37" s="17" t="n">
        <v>800</v>
      </c>
      <c r="C37" s="17" t="n">
        <v>52000</v>
      </c>
      <c r="D37" s="17" t="n">
        <v>800</v>
      </c>
      <c r="E37" s="17" t="n">
        <v>800</v>
      </c>
      <c r="F37" s="26" t="inlineStr">
        <is>
          <t>Low</t>
        </is>
      </c>
    </row>
    <row r="38" ht="20" customHeight="1">
      <c r="A38" s="19" t="inlineStr">
        <is>
          <t>Fractured Arm</t>
        </is>
      </c>
      <c r="B38" s="20" t="n">
        <v>500</v>
      </c>
      <c r="C38" s="20" t="n">
        <v>33000</v>
      </c>
      <c r="D38" s="20" t="n">
        <v>500</v>
      </c>
      <c r="E38" s="20" t="n">
        <v>500</v>
      </c>
      <c r="F38" s="27" t="inlineStr">
        <is>
          <t>Low</t>
        </is>
      </c>
    </row>
    <row r="39" ht="20" customHeight="1">
      <c r="A39" s="5" t="inlineStr">
        <is>
          <t>Allergic Reaction</t>
        </is>
      </c>
      <c r="B39" s="17" t="n">
        <v>100</v>
      </c>
      <c r="C39" s="17" t="n">
        <v>6600</v>
      </c>
      <c r="D39" s="17" t="n">
        <v>100</v>
      </c>
      <c r="E39" s="17" t="n">
        <v>100</v>
      </c>
      <c r="F39" s="26" t="inlineStr">
        <is>
          <t>Low</t>
        </is>
      </c>
    </row>
    <row r="40" ht="22" customHeight="1">
      <c r="A40" s="28" t="inlineStr">
        <is>
          <t>TOTAL/AVG</t>
        </is>
      </c>
      <c r="B40" s="29">
        <f>AVERAGE(B25:B39)</f>
        <v/>
      </c>
      <c r="C40" s="29">
        <f>SUM(C25:C39)</f>
        <v/>
      </c>
      <c r="D40" s="30" t="n"/>
      <c r="E40" s="30" t="n"/>
      <c r="F40" s="30" t="n"/>
    </row>
    <row r="42" ht="26" customHeight="1">
      <c r="A42" s="31" t="inlineStr">
        <is>
          <t xml:space="preserve">  Q7 · AVERAGE LENGTH OF HOSPITAL STAY</t>
        </is>
      </c>
    </row>
    <row r="43" ht="24" customHeight="1">
      <c r="A43" s="32" t="inlineStr">
        <is>
          <t>Condition</t>
        </is>
      </c>
      <c r="B43" s="32" t="inlineStr">
        <is>
          <t>Avg Stay (Days)</t>
        </is>
      </c>
      <c r="C43" s="32" t="inlineStr">
        <is>
          <t>Risk Level</t>
        </is>
      </c>
      <c r="D43" s="32" t="inlineStr">
        <is>
          <t>vs Overall Avg</t>
        </is>
      </c>
      <c r="E43" s="32" t="inlineStr">
        <is>
          <t>Difference</t>
        </is>
      </c>
      <c r="F43" s="32" t="inlineStr">
        <is>
          <t>Action</t>
        </is>
      </c>
    </row>
    <row r="44" ht="20" customHeight="1">
      <c r="A44" s="5" t="inlineStr">
        <is>
          <t>Cancer</t>
        </is>
      </c>
      <c r="B44" s="33" t="n">
        <v>42.7</v>
      </c>
      <c r="C44" s="23" t="inlineStr">
        <is>
          <t>Medium</t>
        </is>
      </c>
      <c r="D44" s="34" t="n">
        <v>37.7</v>
      </c>
      <c r="E44" s="35">
        <f>B44-D44</f>
        <v/>
      </c>
      <c r="F44" s="5" t="inlineStr">
        <is>
          <t>Monitor</t>
        </is>
      </c>
    </row>
    <row r="45" ht="20" customHeight="1">
      <c r="A45" s="36" t="inlineStr">
        <is>
          <t>Prostate Cancer</t>
        </is>
      </c>
      <c r="B45" s="37" t="n">
        <v>41.6</v>
      </c>
      <c r="C45" s="38" t="inlineStr">
        <is>
          <t>Medium</t>
        </is>
      </c>
      <c r="D45" s="39" t="n">
        <v>37.7</v>
      </c>
      <c r="E45" s="40">
        <f>B45-D45</f>
        <v/>
      </c>
      <c r="F45" s="36" t="inlineStr">
        <is>
          <t>Monitor</t>
        </is>
      </c>
    </row>
    <row r="46" ht="20" customHeight="1">
      <c r="A46" s="5" t="inlineStr">
        <is>
          <t>Heart Attack</t>
        </is>
      </c>
      <c r="B46" s="33" t="n">
        <v>41</v>
      </c>
      <c r="C46" s="23" t="inlineStr">
        <is>
          <t>Medium</t>
        </is>
      </c>
      <c r="D46" s="34" t="n">
        <v>37.7</v>
      </c>
      <c r="E46" s="35">
        <f>B46-D46</f>
        <v/>
      </c>
      <c r="F46" s="5" t="inlineStr">
        <is>
          <t>Monitor</t>
        </is>
      </c>
    </row>
    <row r="47" ht="20" customHeight="1">
      <c r="A47" s="36" t="inlineStr">
        <is>
          <t>Stroke</t>
        </is>
      </c>
      <c r="B47" s="37" t="n">
        <v>40.3</v>
      </c>
      <c r="C47" s="38" t="inlineStr">
        <is>
          <t>Medium</t>
        </is>
      </c>
      <c r="D47" s="39" t="n">
        <v>37.7</v>
      </c>
      <c r="E47" s="40">
        <f>B47-D47</f>
        <v/>
      </c>
      <c r="F47" s="36" t="inlineStr">
        <is>
          <t>Monitor</t>
        </is>
      </c>
    </row>
    <row r="48" ht="20" customHeight="1">
      <c r="A48" s="5" t="inlineStr">
        <is>
          <t>Fractured Leg</t>
        </is>
      </c>
      <c r="B48" s="33" t="n">
        <v>39</v>
      </c>
      <c r="C48" s="23" t="inlineStr">
        <is>
          <t>Medium</t>
        </is>
      </c>
      <c r="D48" s="34" t="n">
        <v>37.7</v>
      </c>
      <c r="E48" s="35">
        <f>B48-D48</f>
        <v/>
      </c>
      <c r="F48" s="5" t="inlineStr">
        <is>
          <t>Monitor</t>
        </is>
      </c>
    </row>
    <row r="49" ht="20" customHeight="1">
      <c r="A49" s="36" t="inlineStr">
        <is>
          <t>Heart Disease</t>
        </is>
      </c>
      <c r="B49" s="37" t="n">
        <v>38.2</v>
      </c>
      <c r="C49" s="38" t="inlineStr">
        <is>
          <t>Medium</t>
        </is>
      </c>
      <c r="D49" s="39" t="n">
        <v>37.7</v>
      </c>
      <c r="E49" s="40">
        <f>B49-D49</f>
        <v/>
      </c>
      <c r="F49" s="36" t="inlineStr">
        <is>
          <t>Monitor</t>
        </is>
      </c>
    </row>
    <row r="50" ht="20" customHeight="1">
      <c r="A50" s="5" t="inlineStr">
        <is>
          <t>Osteoarthritis</t>
        </is>
      </c>
      <c r="B50" s="33" t="n">
        <v>37.9</v>
      </c>
      <c r="C50" s="23" t="inlineStr">
        <is>
          <t>Medium</t>
        </is>
      </c>
      <c r="D50" s="34" t="n">
        <v>37.7</v>
      </c>
      <c r="E50" s="35">
        <f>B50-D50</f>
        <v/>
      </c>
      <c r="F50" s="5" t="inlineStr">
        <is>
          <t>Monitor</t>
        </is>
      </c>
    </row>
    <row r="51" ht="20" customHeight="1">
      <c r="A51" s="36" t="inlineStr">
        <is>
          <t>Appendicitis</t>
        </is>
      </c>
      <c r="B51" s="37" t="n">
        <v>37.4</v>
      </c>
      <c r="C51" s="38" t="inlineStr">
        <is>
          <t>Medium</t>
        </is>
      </c>
      <c r="D51" s="39" t="n">
        <v>37.7</v>
      </c>
      <c r="E51" s="41">
        <f>B51-D51</f>
        <v/>
      </c>
      <c r="F51" s="36" t="inlineStr">
        <is>
          <t>Monitor</t>
        </is>
      </c>
    </row>
    <row r="52" ht="20" customHeight="1">
      <c r="A52" s="5" t="inlineStr">
        <is>
          <t>Kidney Stones</t>
        </is>
      </c>
      <c r="B52" s="33" t="n">
        <v>36.5</v>
      </c>
      <c r="C52" s="23" t="inlineStr">
        <is>
          <t>Medium</t>
        </is>
      </c>
      <c r="D52" s="34" t="n">
        <v>37.7</v>
      </c>
      <c r="E52" s="42">
        <f>B52-D52</f>
        <v/>
      </c>
      <c r="F52" s="5" t="inlineStr">
        <is>
          <t>Monitor</t>
        </is>
      </c>
    </row>
    <row r="53" ht="20" customHeight="1">
      <c r="A53" s="36" t="inlineStr">
        <is>
          <t>Diabetes</t>
        </is>
      </c>
      <c r="B53" s="37" t="n">
        <v>36.1</v>
      </c>
      <c r="C53" s="38" t="inlineStr">
        <is>
          <t>Medium</t>
        </is>
      </c>
      <c r="D53" s="39" t="n">
        <v>37.7</v>
      </c>
      <c r="E53" s="41">
        <f>B53-D53</f>
        <v/>
      </c>
      <c r="F53" s="36" t="inlineStr">
        <is>
          <t>Monitor</t>
        </is>
      </c>
    </row>
    <row r="54" ht="20" customHeight="1">
      <c r="A54" s="5" t="inlineStr">
        <is>
          <t>Childbirth</t>
        </is>
      </c>
      <c r="B54" s="33" t="n">
        <v>35.5</v>
      </c>
      <c r="C54" s="23" t="inlineStr">
        <is>
          <t>Medium</t>
        </is>
      </c>
      <c r="D54" s="34" t="n">
        <v>37.7</v>
      </c>
      <c r="E54" s="42">
        <f>B54-D54</f>
        <v/>
      </c>
      <c r="F54" s="5" t="inlineStr">
        <is>
          <t>Monitor</t>
        </is>
      </c>
    </row>
    <row r="55" ht="20" customHeight="1">
      <c r="A55" s="36" t="inlineStr">
        <is>
          <t>Hypertension</t>
        </is>
      </c>
      <c r="B55" s="37" t="n">
        <v>35.5</v>
      </c>
      <c r="C55" s="38" t="inlineStr">
        <is>
          <t>Medium</t>
        </is>
      </c>
      <c r="D55" s="39" t="n">
        <v>37.7</v>
      </c>
      <c r="E55" s="41">
        <f>B55-D55</f>
        <v/>
      </c>
      <c r="F55" s="36" t="inlineStr">
        <is>
          <t>Monitor</t>
        </is>
      </c>
    </row>
    <row r="56" ht="20" customHeight="1">
      <c r="A56" s="5" t="inlineStr">
        <is>
          <t>Respiratory Infection</t>
        </is>
      </c>
      <c r="B56" s="33" t="n">
        <v>34.7</v>
      </c>
      <c r="C56" s="26" t="inlineStr">
        <is>
          <t>Low</t>
        </is>
      </c>
      <c r="D56" s="34" t="n">
        <v>37.7</v>
      </c>
      <c r="E56" s="42">
        <f>B56-D56</f>
        <v/>
      </c>
      <c r="F56" s="5" t="inlineStr">
        <is>
          <t>Optimal</t>
        </is>
      </c>
    </row>
    <row r="57" ht="20" customHeight="1">
      <c r="A57" s="36" t="inlineStr">
        <is>
          <t>Fractured Arm</t>
        </is>
      </c>
      <c r="B57" s="37" t="n">
        <v>34.3</v>
      </c>
      <c r="C57" s="43" t="inlineStr">
        <is>
          <t>Low</t>
        </is>
      </c>
      <c r="D57" s="39" t="n">
        <v>37.7</v>
      </c>
      <c r="E57" s="41">
        <f>B57-D57</f>
        <v/>
      </c>
      <c r="F57" s="36" t="inlineStr">
        <is>
          <t>Optimal</t>
        </is>
      </c>
    </row>
    <row r="58" ht="20" customHeight="1">
      <c r="A58" s="5" t="inlineStr">
        <is>
          <t>Allergic Reaction</t>
        </is>
      </c>
      <c r="B58" s="33" t="n">
        <v>34.2</v>
      </c>
      <c r="C58" s="26" t="inlineStr">
        <is>
          <t>Low</t>
        </is>
      </c>
      <c r="D58" s="34" t="n">
        <v>37.7</v>
      </c>
      <c r="E58" s="42">
        <f>B58-D58</f>
        <v/>
      </c>
      <c r="F58" s="5" t="inlineStr">
        <is>
          <t>Optimal</t>
        </is>
      </c>
    </row>
    <row r="59" ht="22" customHeight="1">
      <c r="A59" s="28" t="inlineStr">
        <is>
          <t>OVERALL AVG</t>
        </is>
      </c>
      <c r="B59" s="44">
        <f>AVERAGE(B44:B58)</f>
        <v/>
      </c>
      <c r="C59" s="30" t="n"/>
      <c r="D59" s="30" t="n"/>
      <c r="E59" s="30" t="n"/>
      <c r="F59" s="30" t="n"/>
    </row>
    <row r="61" ht="26" customHeight="1">
      <c r="A61" s="15" t="inlineStr">
        <is>
          <t xml:space="preserve">  Q10 · DISEASE WITH HIGHEST READMISSION</t>
        </is>
      </c>
    </row>
    <row r="62" ht="24" customHeight="1">
      <c r="A62" s="45" t="inlineStr">
        <is>
          <t>Rank</t>
        </is>
      </c>
      <c r="B62" s="45" t="inlineStr">
        <is>
          <t>Condition</t>
        </is>
      </c>
      <c r="C62" s="45" t="inlineStr">
        <is>
          <t>Readmitted</t>
        </is>
      </c>
      <c r="D62" s="45" t="inlineStr">
        <is>
          <t>Total Patients</t>
        </is>
      </c>
      <c r="E62" s="45" t="inlineStr">
        <is>
          <t>Readmission Rate</t>
        </is>
      </c>
      <c r="F62" s="45" t="inlineStr">
        <is>
          <t>Risk Flag</t>
        </is>
      </c>
    </row>
    <row r="63" ht="20" customHeight="1">
      <c r="A63" s="46" t="n">
        <v>1</v>
      </c>
      <c r="B63" s="5" t="inlineStr">
        <is>
          <t>Heart Attack</t>
        </is>
      </c>
      <c r="C63" s="6" t="n">
        <v>67</v>
      </c>
      <c r="D63" s="6" t="n">
        <v>67</v>
      </c>
      <c r="E63" s="8">
        <f>C63/D63</f>
        <v/>
      </c>
      <c r="F63" s="46" t="inlineStr">
        <is>
          <t>🔴 Critical</t>
        </is>
      </c>
    </row>
    <row r="64" ht="20" customHeight="1">
      <c r="A64" s="47" t="n">
        <v>2</v>
      </c>
      <c r="B64" s="19" t="inlineStr">
        <is>
          <t>Heart Disease</t>
        </is>
      </c>
      <c r="C64" s="48" t="n">
        <v>64</v>
      </c>
      <c r="D64" s="48" t="n">
        <v>65</v>
      </c>
      <c r="E64" s="49">
        <f>C64/D64</f>
        <v/>
      </c>
      <c r="F64" s="47" t="inlineStr">
        <is>
          <t>🔴 Critical</t>
        </is>
      </c>
    </row>
    <row r="65" ht="20" customHeight="1">
      <c r="A65" s="46" t="n">
        <v>3</v>
      </c>
      <c r="B65" s="5" t="inlineStr">
        <is>
          <t>Appendicitis</t>
        </is>
      </c>
      <c r="C65" s="6" t="n">
        <v>33</v>
      </c>
      <c r="D65" s="6" t="n">
        <v>66</v>
      </c>
      <c r="E65" s="8">
        <f>C65/D65</f>
        <v/>
      </c>
      <c r="F65" s="46" t="inlineStr">
        <is>
          <t>🟠 High</t>
        </is>
      </c>
    </row>
    <row r="66" ht="20" customHeight="1">
      <c r="A66" s="47" t="n">
        <v>4</v>
      </c>
      <c r="B66" s="19" t="inlineStr">
        <is>
          <t>Fractured Arm</t>
        </is>
      </c>
      <c r="C66" s="48" t="n">
        <v>33</v>
      </c>
      <c r="D66" s="48" t="n">
        <v>66</v>
      </c>
      <c r="E66" s="49">
        <f>C66/D66</f>
        <v/>
      </c>
      <c r="F66" s="47" t="inlineStr">
        <is>
          <t>🟠 High</t>
        </is>
      </c>
    </row>
    <row r="67" ht="20" customHeight="1">
      <c r="A67" s="46" t="n">
        <v>5</v>
      </c>
      <c r="B67" s="5" t="inlineStr">
        <is>
          <t>Cancer</t>
        </is>
      </c>
      <c r="C67" s="6" t="n">
        <v>33</v>
      </c>
      <c r="D67" s="6" t="n">
        <v>66</v>
      </c>
      <c r="E67" s="8">
        <f>C67/D67</f>
        <v/>
      </c>
      <c r="F67" s="46" t="inlineStr">
        <is>
          <t>🟠 High</t>
        </is>
      </c>
    </row>
    <row r="68" ht="20" customHeight="1">
      <c r="A68" s="47" t="n">
        <v>6</v>
      </c>
      <c r="B68" s="19" t="inlineStr">
        <is>
          <t>Stroke</t>
        </is>
      </c>
      <c r="C68" s="48" t="n">
        <v>33</v>
      </c>
      <c r="D68" s="48" t="n">
        <v>66</v>
      </c>
      <c r="E68" s="49">
        <f>C68/D68</f>
        <v/>
      </c>
      <c r="F68" s="47" t="inlineStr">
        <is>
          <t>🟠 High</t>
        </is>
      </c>
    </row>
    <row r="69" ht="20" customHeight="1">
      <c r="A69" s="46" t="n">
        <v>7</v>
      </c>
      <c r="B69" s="5" t="inlineStr">
        <is>
          <t>Diabetes</t>
        </is>
      </c>
      <c r="C69" s="6" t="n">
        <v>1</v>
      </c>
      <c r="D69" s="6" t="n">
        <v>65</v>
      </c>
      <c r="E69" s="8">
        <f>C69/D69</f>
        <v/>
      </c>
      <c r="F69" s="46" t="inlineStr">
        <is>
          <t>🟢 Low</t>
        </is>
      </c>
    </row>
    <row r="70" ht="22" customHeight="1">
      <c r="A70" s="28" t="inlineStr">
        <is>
          <t>TOTAL</t>
        </is>
      </c>
      <c r="B70" s="30" t="n"/>
      <c r="C70" s="50">
        <f>SUM(C63:C69)</f>
        <v/>
      </c>
      <c r="D70" s="30" t="n"/>
      <c r="E70" s="30" t="n"/>
      <c r="F70" s="30" t="n"/>
    </row>
  </sheetData>
  <mergeCells count="6">
    <mergeCell ref="A42:F42"/>
    <mergeCell ref="A23:F23"/>
    <mergeCell ref="A2:N2"/>
    <mergeCell ref="A61:F61"/>
    <mergeCell ref="A4:F4"/>
    <mergeCell ref="A1:N1"/>
  </mergeCells>
  <conditionalFormatting sqref="B25:B39">
    <cfRule type="colorScale" priority="1">
      <colorScale>
        <cfvo type="min"/>
        <cfvo type="max"/>
        <color rgb="00DCFCE7"/>
        <color rgb="00DC2626"/>
      </colorScale>
    </cfRule>
  </conditionalFormatting>
  <conditionalFormatting sqref="B44:B58">
    <cfRule type="colorScale" priority="2">
      <colorScale>
        <cfvo type="min"/>
        <cfvo type="num" val="37.7"/>
        <cfvo type="max"/>
        <color rgb="00DCFCE7"/>
        <color rgb="00FEF9C3"/>
        <color rgb="00FEE2E2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2026-03-08T06:23:11Z</dcterms:created>
  <dcterms:modified xsi:type="dcterms:W3CDTF">2026-03-08T06:23:11Z</dcterms:modified>
</cp:coreProperties>
</file>