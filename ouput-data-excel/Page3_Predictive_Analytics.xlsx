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ve Analy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0.0"/>
    <numFmt numFmtId="167" formatCode="$#,##0;($#,##0);-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93C5FD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111827"/>
      <sz val="10"/>
    </font>
    <font>
      <name val="Arial"/>
      <b val="1"/>
      <color rgb="001E40AF"/>
      <sz val="10"/>
    </font>
    <font>
      <name val="Arial"/>
      <color rgb="00059669"/>
      <sz val="10"/>
    </font>
    <font>
      <name val="Arial"/>
      <b val="1"/>
      <color rgb="00D97706"/>
      <sz val="10"/>
    </font>
    <font>
      <name val="Arial"/>
      <color rgb="0094A3B8"/>
      <sz val="10"/>
    </font>
    <font>
      <name val="Arial"/>
      <i val="1"/>
      <color rgb="00D97706"/>
      <sz val="10"/>
    </font>
    <font>
      <name val="Arial"/>
      <b val="1"/>
      <color rgb="00111827"/>
      <sz val="11"/>
    </font>
    <font>
      <name val="Arial"/>
      <color rgb="001E40AF"/>
      <sz val="11"/>
    </font>
    <font>
      <name val="Arial"/>
      <b val="1"/>
      <color rgb="00111827"/>
      <sz val="10"/>
    </font>
    <font>
      <name val="Arial"/>
      <color rgb="0064748B"/>
      <sz val="10"/>
    </font>
    <font>
      <name val="Arial"/>
      <b val="1"/>
      <color rgb="00DC2626"/>
      <sz val="11"/>
    </font>
    <font>
      <name val="Arial"/>
      <color rgb="001E40AF"/>
      <sz val="10"/>
    </font>
    <font>
      <name val="Arial"/>
      <b val="1"/>
      <color rgb="00D97706"/>
      <sz val="11"/>
    </font>
    <font>
      <name val="Arial"/>
      <b val="1"/>
      <i val="1"/>
      <color rgb="00D97706"/>
      <sz val="10"/>
    </font>
    <font>
      <name val="Arial"/>
      <b val="1"/>
      <color rgb="001E40AF"/>
      <sz val="11"/>
    </font>
  </fonts>
  <fills count="1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3A5F"/>
      </patternFill>
    </fill>
    <fill>
      <patternFill patternType="solid">
        <fgColor rgb="00065F46"/>
      </patternFill>
    </fill>
    <fill>
      <patternFill patternType="solid">
        <fgColor rgb="00059669"/>
      </patternFill>
    </fill>
    <fill>
      <patternFill patternType="solid">
        <fgColor rgb="00ECFDF5"/>
      </patternFill>
    </fill>
    <fill>
      <patternFill patternType="solid">
        <fgColor rgb="00FFFBEB"/>
      </patternFill>
    </fill>
    <fill>
      <patternFill patternType="solid">
        <fgColor rgb="007F1D1D"/>
      </patternFill>
    </fill>
    <fill>
      <patternFill patternType="solid">
        <fgColor rgb="00DC2626"/>
      </patternFill>
    </fill>
    <fill>
      <patternFill patternType="solid">
        <fgColor rgb="00FEF2F2"/>
      </patternFill>
    </fill>
    <fill>
      <patternFill patternType="solid">
        <fgColor rgb="001E40AF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164E63"/>
      </patternFill>
    </fill>
    <fill>
      <patternFill patternType="solid">
        <fgColor rgb="000891B2"/>
      </patternFill>
    </fill>
    <fill>
      <patternFill patternType="solid">
        <fgColor rgb="00ECFE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5" fillId="0" borderId="1" pivotButton="0" quotePrefix="0" xfId="0"/>
    <xf numFmtId="3" fontId="5" fillId="0" borderId="1" pivotButton="0" quotePrefix="0" xfId="0"/>
    <xf numFmtId="0" fontId="6" fillId="0" borderId="1" pivotButton="0" quotePrefix="0" xfId="0"/>
    <xf numFmtId="164" fontId="7" fillId="0" borderId="1" pivotButton="0" quotePrefix="0" xfId="0"/>
    <xf numFmtId="0" fontId="5" fillId="6" borderId="1" pivotButton="0" quotePrefix="0" xfId="0"/>
    <xf numFmtId="164" fontId="5" fillId="6" borderId="1" pivotButton="0" quotePrefix="0" xfId="0"/>
    <xf numFmtId="3" fontId="5" fillId="6" borderId="1" pivotButton="0" quotePrefix="0" xfId="0"/>
    <xf numFmtId="0" fontId="6" fillId="6" borderId="1" pivotButton="0" quotePrefix="0" xfId="0"/>
    <xf numFmtId="164" fontId="7" fillId="6" borderId="1" pivotButton="0" quotePrefix="0" xfId="0"/>
    <xf numFmtId="0" fontId="8" fillId="7" borderId="1" pivotButton="0" quotePrefix="0" xfId="0"/>
    <xf numFmtId="164" fontId="8" fillId="7" borderId="1" pivotButton="0" quotePrefix="0" xfId="0"/>
    <xf numFmtId="0" fontId="9" fillId="7" borderId="1" pivotButton="0" quotePrefix="0" xfId="0"/>
    <xf numFmtId="0" fontId="10" fillId="7" borderId="1" pivotButton="0" quotePrefix="0" xfId="0"/>
    <xf numFmtId="0" fontId="11" fillId="0" borderId="0" pivotButton="0" quotePrefix="0" xfId="0"/>
    <xf numFmtId="0" fontId="12" fillId="0" borderId="0" pivotButton="0" quotePrefix="0" xfId="0"/>
    <xf numFmtId="0" fontId="3" fillId="8" borderId="0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165" fontId="5" fillId="0" borderId="1" pivotButton="0" quotePrefix="0" xfId="0"/>
    <xf numFmtId="0" fontId="13" fillId="0" borderId="1" pivotButton="0" quotePrefix="0" xfId="0"/>
    <xf numFmtId="9" fontId="14" fillId="0" borderId="1" pivotButton="0" quotePrefix="0" xfId="0"/>
    <xf numFmtId="0" fontId="5" fillId="10" borderId="1" pivotButton="0" quotePrefix="0" xfId="0"/>
    <xf numFmtId="165" fontId="5" fillId="10" borderId="1" pivotButton="0" quotePrefix="0" xfId="0"/>
    <xf numFmtId="0" fontId="13" fillId="10" borderId="1" pivotButton="0" quotePrefix="0" xfId="0"/>
    <xf numFmtId="9" fontId="14" fillId="10" borderId="1" pivotButton="0" quotePrefix="0" xfId="0"/>
    <xf numFmtId="0" fontId="11" fillId="0" borderId="1" pivotButton="0" quotePrefix="0" xfId="0"/>
    <xf numFmtId="165" fontId="15" fillId="0" borderId="1" pivotButton="0" quotePrefix="0" xfId="0"/>
    <xf numFmtId="0" fontId="0" fillId="0" borderId="1" pivotButton="0" quotePrefix="0" xfId="0"/>
    <xf numFmtId="0" fontId="3" fillId="3" borderId="0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166" fontId="5" fillId="0" borderId="1" pivotButton="0" quotePrefix="0" xfId="0"/>
    <xf numFmtId="167" fontId="5" fillId="0" borderId="1" pivotButton="0" quotePrefix="0" xfId="0"/>
    <xf numFmtId="0" fontId="9" fillId="0" borderId="1" pivotButton="0" quotePrefix="0" xfId="0"/>
    <xf numFmtId="0" fontId="5" fillId="12" borderId="1" pivotButton="0" quotePrefix="0" xfId="0"/>
    <xf numFmtId="166" fontId="5" fillId="12" borderId="1" pivotButton="0" quotePrefix="0" xfId="0"/>
    <xf numFmtId="164" fontId="5" fillId="12" borderId="1" pivotButton="0" quotePrefix="0" xfId="0"/>
    <xf numFmtId="164" fontId="7" fillId="12" borderId="1" pivotButton="0" quotePrefix="0" xfId="0"/>
    <xf numFmtId="167" fontId="5" fillId="12" borderId="1" pivotButton="0" quotePrefix="0" xfId="0"/>
    <xf numFmtId="0" fontId="16" fillId="12" borderId="1" pivotButton="0" quotePrefix="0" xfId="0"/>
    <xf numFmtId="0" fontId="9" fillId="12" borderId="1" pivotButton="0" quotePrefix="0" xfId="0"/>
    <xf numFmtId="0" fontId="16" fillId="0" borderId="1" pivotButton="0" quotePrefix="0" xfId="0"/>
    <xf numFmtId="0" fontId="17" fillId="7" borderId="1" pivotButton="0" quotePrefix="0" xfId="0"/>
    <xf numFmtId="166" fontId="17" fillId="7" borderId="1" pivotButton="0" quotePrefix="0" xfId="0"/>
    <xf numFmtId="0" fontId="0" fillId="7" borderId="1" pivotButton="0" quotePrefix="0" xfId="0"/>
    <xf numFmtId="164" fontId="17" fillId="7" borderId="1" pivotButton="0" quotePrefix="0" xfId="0"/>
    <xf numFmtId="0" fontId="12" fillId="7" borderId="1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13" borderId="1" pivotButton="0" quotePrefix="0" xfId="0"/>
    <xf numFmtId="164" fontId="5" fillId="13" borderId="1" pivotButton="0" quotePrefix="0" xfId="0"/>
    <xf numFmtId="0" fontId="0" fillId="13" borderId="1" pivotButton="0" quotePrefix="0" xfId="0"/>
    <xf numFmtId="167" fontId="5" fillId="13" borderId="1" pivotButton="0" quotePrefix="0" xfId="0"/>
    <xf numFmtId="0" fontId="3" fillId="14" borderId="0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 wrapText="1"/>
    </xf>
    <xf numFmtId="3" fontId="16" fillId="0" borderId="1" pivotButton="0" quotePrefix="0" xfId="0"/>
    <xf numFmtId="0" fontId="5" fillId="16" borderId="1" pivotButton="0" quotePrefix="0" xfId="0"/>
    <xf numFmtId="0" fontId="13" fillId="16" borderId="1" pivotButton="0" quotePrefix="0" xfId="0"/>
    <xf numFmtId="3" fontId="16" fillId="16" borderId="1" pivotButton="0" quotePrefix="0" xfId="0"/>
    <xf numFmtId="0" fontId="9" fillId="16" borderId="1" pivotButton="0" quotePrefix="0" xfId="0"/>
    <xf numFmtId="0" fontId="16" fillId="16" borderId="1" pivotButton="0" quotePrefix="0" xfId="0"/>
    <xf numFmtId="166" fontId="8" fillId="0" borderId="1" pivotButton="0" quotePrefix="0" xfId="0"/>
    <xf numFmtId="166" fontId="9" fillId="0" borderId="1" pivotButton="0" quotePrefix="0" xfId="0"/>
    <xf numFmtId="0" fontId="18" fillId="0" borderId="1" pivotButton="0" quotePrefix="0" xfId="0"/>
    <xf numFmtId="0" fontId="5" fillId="7" borderId="1" pivotButton="0" quotePrefix="0" xfId="0"/>
    <xf numFmtId="0" fontId="13" fillId="7" borderId="1" pivotButton="0" quotePrefix="0" xfId="0"/>
    <xf numFmtId="166" fontId="8" fillId="7" borderId="1" pivotButton="0" quotePrefix="0" xfId="0"/>
    <xf numFmtId="166" fontId="9" fillId="7" borderId="1" pivotButton="0" quotePrefix="0" xfId="0"/>
    <xf numFmtId="0" fontId="18" fillId="7" borderId="1" pivotButton="0" quotePrefix="0" xfId="0"/>
    <xf numFmtId="166" fontId="19" fillId="0" borderId="1" pivotButton="0" quotePrefix="0" xfId="0"/>
    <xf numFmtId="166" fontId="1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PRED 1 · Cost by Age Group + Forecast</a:t>
            </a:r>
          </a:p>
        </rich>
      </tx>
    </title>
    <plotArea>
      <lineChart>
        <grouping val="standard"/>
        <ser>
          <idx val="0"/>
          <order val="0"/>
          <tx>
            <strRef>
              <f>'Predictive Analytics'!B5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'Predictive Analytics'!$A$6:$A$12</f>
            </numRef>
          </cat>
          <val>
            <numRef>
              <f>'Predictive Analytics'!$B$6:$B$10</f>
            </numRef>
          </val>
        </ser>
        <ser>
          <idx val="1"/>
          <order val="1"/>
          <tx>
            <strRef>
              <f>'Predictive Analytics'!E5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'Predictive Analytics'!$A$6:$A$12</f>
            </numRef>
          </cat>
          <val>
            <numRef>
              <f>'Predictive Analytics'!$E$6:$E$10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Age Group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Cost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PRED 3 · Avg Cost vs Stay per Disease</a:t>
            </a:r>
          </a:p>
        </rich>
      </tx>
    </title>
    <plotArea>
      <lineChart>
        <grouping val="standard"/>
        <ser>
          <idx val="0"/>
          <order val="0"/>
          <tx>
            <strRef>
              <f>'Predictive Analytics'!C35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'Predictive Analytics'!$A$36:$A$50</f>
            </numRef>
          </cat>
          <val>
            <numRef>
              <f>'Predictive Analytics'!$C$36:$C$50</f>
            </numRef>
          </val>
        </ser>
        <ser>
          <idx val="1"/>
          <order val="1"/>
          <tx>
            <strRef>
              <f>'Predictive Analytics'!D35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'Predictive Analytics'!$A$36:$A$50</f>
            </numRef>
          </cat>
          <val>
            <numRef>
              <f>'Predictive Analytics'!$D$36:$D$50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Avg Stay (Days)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Cost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PRED 6 · Monthly Admission Forecast</a:t>
            </a:r>
          </a:p>
        </rich>
      </tx>
    </title>
    <plotArea>
      <lineChart>
        <grouping val="standard"/>
        <ser>
          <idx val="0"/>
          <order val="0"/>
          <tx>
            <strRef>
              <f>'Predictive Analytics'!C73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'Predictive Analytics'!$B$74:$B$91</f>
            </numRef>
          </cat>
          <val>
            <numRef>
              <f>'Predictive Analytics'!$C$74:$C$85</f>
            </numRef>
          </val>
        </ser>
        <ser>
          <idx val="1"/>
          <order val="1"/>
          <tx>
            <strRef>
              <f>'Predictive Analytics'!D73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'Predictive Analytics'!$B$74:$B$91</f>
            </numRef>
          </cat>
          <val>
            <numRef>
              <f>'Predictive Analytics'!$D$74:$D$91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Patients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33</row>
      <rowOff>0</rowOff>
    </from>
    <ext cx="792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71</row>
      <rowOff>0</rowOff>
    </from>
    <ext cx="792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7C3AED"/>
    <outlinePr summaryBelow="1" summaryRight="1"/>
    <pageSetUpPr/>
  </sheetPr>
  <dimension ref="A1:N9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6" customWidth="1" min="4" max="4"/>
    <col width="14" customWidth="1" min="5" max="5"/>
    <col width="14" customWidth="1" min="6" max="6"/>
    <col width="20" customWidth="1" min="7" max="7"/>
    <col width="2" customWidth="1" min="8" max="8"/>
    <col width="2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38" customHeight="1">
      <c r="A1" s="1" t="inlineStr">
        <is>
          <t>📈  PAGE 3 — PREDICTIVE ANALYTICS &amp; FORECASTS</t>
        </is>
      </c>
    </row>
    <row r="2" ht="20" customHeight="1">
      <c r="A2" s="2" t="inlineStr">
        <is>
          <t>Age-Cost Forecast  |  Readmission Risk %  |  Cost vs Stay Regression  |  Cost Heatmap  |  Admission Forecast</t>
        </is>
      </c>
    </row>
    <row r="4" ht="26" customHeight="1">
      <c r="A4" s="3" t="inlineStr">
        <is>
          <t xml:space="preserve">  PRED 1 · TREATMENT COST FORECAST BY AGE GROUP</t>
        </is>
      </c>
    </row>
    <row r="5" ht="24" customHeight="1">
      <c r="A5" s="4" t="inlineStr">
        <is>
          <t>Age Group</t>
        </is>
      </c>
      <c r="B5" s="4" t="inlineStr">
        <is>
          <t>Avg Cost ($)</t>
        </is>
      </c>
      <c r="C5" s="4" t="inlineStr">
        <is>
          <t>Patient Count</t>
        </is>
      </c>
      <c r="D5" s="4" t="inlineStr">
        <is>
          <t>Data Type</t>
        </is>
      </c>
      <c r="E5" s="4" t="inlineStr">
        <is>
          <t>Trend Line</t>
        </is>
      </c>
      <c r="F5" s="4" t="inlineStr">
        <is>
          <t>Forecast Band</t>
        </is>
      </c>
    </row>
    <row r="6" ht="20" customHeight="1">
      <c r="A6" s="5" t="inlineStr">
        <is>
          <t>25-34</t>
        </is>
      </c>
      <c r="B6" s="6" t="n">
        <v>3175</v>
      </c>
      <c r="C6" s="7" t="n">
        <v>132</v>
      </c>
      <c r="D6" s="8" t="inlineStr">
        <is>
          <t>Actual</t>
        </is>
      </c>
      <c r="E6" s="9" t="n">
        <v>3739.16</v>
      </c>
      <c r="F6" s="5" t="inlineStr">
        <is>
          <t>—</t>
        </is>
      </c>
    </row>
    <row r="7" ht="20" customHeight="1">
      <c r="A7" s="10" t="inlineStr">
        <is>
          <t>35-44</t>
        </is>
      </c>
      <c r="B7" s="11" t="n">
        <v>5075.76</v>
      </c>
      <c r="C7" s="12" t="n">
        <v>99</v>
      </c>
      <c r="D7" s="13" t="inlineStr">
        <is>
          <t>Actual</t>
        </is>
      </c>
      <c r="E7" s="14" t="n">
        <v>5615.87</v>
      </c>
      <c r="F7" s="10" t="inlineStr">
        <is>
          <t>—</t>
        </is>
      </c>
    </row>
    <row r="8" ht="20" customHeight="1">
      <c r="A8" s="5" t="inlineStr">
        <is>
          <t>45-54</t>
        </is>
      </c>
      <c r="B8" s="6" t="n">
        <v>8449.780000000001</v>
      </c>
      <c r="C8" s="7" t="n">
        <v>229</v>
      </c>
      <c r="D8" s="8" t="inlineStr">
        <is>
          <t>Actual</t>
        </is>
      </c>
      <c r="E8" s="9" t="n">
        <v>7492.59</v>
      </c>
      <c r="F8" s="5" t="inlineStr">
        <is>
          <t>—</t>
        </is>
      </c>
    </row>
    <row r="9" ht="20" customHeight="1">
      <c r="A9" s="10" t="inlineStr">
        <is>
          <t>55-64</t>
        </is>
      </c>
      <c r="B9" s="11" t="n">
        <v>11331.88</v>
      </c>
      <c r="C9" s="12" t="n">
        <v>229</v>
      </c>
      <c r="D9" s="13" t="inlineStr">
        <is>
          <t>Actual</t>
        </is>
      </c>
      <c r="E9" s="14" t="n">
        <v>9369.299999999999</v>
      </c>
      <c r="F9" s="10" t="inlineStr">
        <is>
          <t>—</t>
        </is>
      </c>
    </row>
    <row r="10" ht="20" customHeight="1">
      <c r="A10" s="5" t="inlineStr">
        <is>
          <t>65-78</t>
        </is>
      </c>
      <c r="B10" s="6" t="n">
        <v>9430.51</v>
      </c>
      <c r="C10" s="7" t="n">
        <v>295</v>
      </c>
      <c r="D10" s="8" t="inlineStr">
        <is>
          <t>Actual</t>
        </is>
      </c>
      <c r="E10" s="9" t="n">
        <v>11246.01</v>
      </c>
      <c r="F10" s="5" t="inlineStr">
        <is>
          <t>—</t>
        </is>
      </c>
    </row>
    <row r="11" ht="20" customHeight="1">
      <c r="A11" s="15" t="inlineStr">
        <is>
          <t>75-84 ★</t>
        </is>
      </c>
      <c r="B11" s="16" t="n">
        <v>13122.73</v>
      </c>
      <c r="C11" s="17" t="inlineStr">
        <is>
          <t>N/A</t>
        </is>
      </c>
      <c r="D11" s="18" t="inlineStr">
        <is>
          <t>Projected</t>
        </is>
      </c>
      <c r="E11" s="17" t="inlineStr">
        <is>
          <t>Linear Regression</t>
        </is>
      </c>
      <c r="F11" s="17" t="inlineStr">
        <is>
          <t>±800</t>
        </is>
      </c>
    </row>
    <row r="12" ht="20" customHeight="1">
      <c r="A12" s="15" t="inlineStr">
        <is>
          <t>85+ ★</t>
        </is>
      </c>
      <c r="B12" s="16" t="n">
        <v>14999.44</v>
      </c>
      <c r="C12" s="17" t="inlineStr">
        <is>
          <t>N/A</t>
        </is>
      </c>
      <c r="D12" s="18" t="inlineStr">
        <is>
          <t>Projected</t>
        </is>
      </c>
      <c r="E12" s="17" t="inlineStr">
        <is>
          <t>Linear Regression</t>
        </is>
      </c>
      <c r="F12" s="17" t="inlineStr">
        <is>
          <t>±800</t>
        </is>
      </c>
    </row>
    <row r="13" ht="20" customHeight="1">
      <c r="A13" s="19" t="inlineStr">
        <is>
          <t>MODEL STATS</t>
        </is>
      </c>
      <c r="B13" s="20" t="inlineStr">
        <is>
          <t>Slope: $1,877/group</t>
        </is>
      </c>
      <c r="C13" s="20" t="inlineStr">
        <is>
          <t>Intercept: $3,739</t>
        </is>
      </c>
    </row>
    <row r="15" ht="26" customHeight="1">
      <c r="A15" s="21" t="inlineStr">
        <is>
          <t xml:space="preserve">  PRED 2 · READMISSION RISK % PER DISEASE</t>
        </is>
      </c>
    </row>
    <row r="16" ht="24" customHeight="1">
      <c r="A16" s="22" t="inlineStr">
        <is>
          <t>Condition</t>
        </is>
      </c>
      <c r="B16" s="22" t="inlineStr">
        <is>
          <t>Readmission Rate (%)</t>
        </is>
      </c>
      <c r="C16" s="22" t="inlineStr">
        <is>
          <t>Risk Category</t>
        </is>
      </c>
      <c r="D16" s="22" t="inlineStr">
        <is>
          <t>Threshold</t>
        </is>
      </c>
      <c r="E16" s="22" t="inlineStr">
        <is>
          <t>Above Threshold?</t>
        </is>
      </c>
      <c r="F16" s="22" t="inlineStr">
        <is>
          <t>Intervention</t>
        </is>
      </c>
    </row>
    <row r="17" ht="20" customHeight="1">
      <c r="A17" s="5" t="inlineStr">
        <is>
          <t>Heart Attack</t>
        </is>
      </c>
      <c r="B17" s="23" t="n">
        <v>1</v>
      </c>
      <c r="C17" s="24" t="inlineStr">
        <is>
          <t>🔴 Critical</t>
        </is>
      </c>
      <c r="D17" s="25" t="n">
        <v>0.5</v>
      </c>
      <c r="E17" s="5">
        <f>IF(B17&gt;D17,"⚠ YES","✓ NO")</f>
        <v/>
      </c>
      <c r="F17" s="5" t="inlineStr">
        <is>
          <t>Immediate Review</t>
        </is>
      </c>
    </row>
    <row r="18" ht="20" customHeight="1">
      <c r="A18" s="26" t="inlineStr">
        <is>
          <t>Heart Disease</t>
        </is>
      </c>
      <c r="B18" s="27" t="n">
        <v>0.9845999999999999</v>
      </c>
      <c r="C18" s="28" t="inlineStr">
        <is>
          <t>🔴 Critical</t>
        </is>
      </c>
      <c r="D18" s="29" t="n">
        <v>0.5</v>
      </c>
      <c r="E18" s="26">
        <f>IF(B18&gt;D18,"⚠ YES","✓ NO")</f>
        <v/>
      </c>
      <c r="F18" s="26" t="inlineStr">
        <is>
          <t>Immediate Review</t>
        </is>
      </c>
    </row>
    <row r="19" ht="20" customHeight="1">
      <c r="A19" s="5" t="inlineStr">
        <is>
          <t>Appendicitis</t>
        </is>
      </c>
      <c r="B19" s="23" t="n">
        <v>0.5</v>
      </c>
      <c r="C19" s="24" t="inlineStr">
        <is>
          <t>🟠 High</t>
        </is>
      </c>
      <c r="D19" s="25" t="n">
        <v>0.5</v>
      </c>
      <c r="E19" s="5">
        <f>IF(B19&gt;D19,"⚠ YES","✓ NO")</f>
        <v/>
      </c>
      <c r="F19" s="5" t="inlineStr">
        <is>
          <t>Monitor Closely</t>
        </is>
      </c>
    </row>
    <row r="20" ht="20" customHeight="1">
      <c r="A20" s="26" t="inlineStr">
        <is>
          <t>Cancer</t>
        </is>
      </c>
      <c r="B20" s="27" t="n">
        <v>0.5</v>
      </c>
      <c r="C20" s="28" t="inlineStr">
        <is>
          <t>🟠 High</t>
        </is>
      </c>
      <c r="D20" s="29" t="n">
        <v>0.5</v>
      </c>
      <c r="E20" s="26">
        <f>IF(B20&gt;D20,"⚠ YES","✓ NO")</f>
        <v/>
      </c>
      <c r="F20" s="26" t="inlineStr">
        <is>
          <t>Monitor Closely</t>
        </is>
      </c>
    </row>
    <row r="21" ht="20" customHeight="1">
      <c r="A21" s="5" t="inlineStr">
        <is>
          <t>Stroke</t>
        </is>
      </c>
      <c r="B21" s="23" t="n">
        <v>0.5</v>
      </c>
      <c r="C21" s="24" t="inlineStr">
        <is>
          <t>🟠 High</t>
        </is>
      </c>
      <c r="D21" s="25" t="n">
        <v>0.5</v>
      </c>
      <c r="E21" s="5">
        <f>IF(B21&gt;D21,"⚠ YES","✓ NO")</f>
        <v/>
      </c>
      <c r="F21" s="5" t="inlineStr">
        <is>
          <t>Monitor Closely</t>
        </is>
      </c>
    </row>
    <row r="22" ht="20" customHeight="1">
      <c r="A22" s="26" t="inlineStr">
        <is>
          <t>Fractured Arm</t>
        </is>
      </c>
      <c r="B22" s="27" t="n">
        <v>0.5</v>
      </c>
      <c r="C22" s="28" t="inlineStr">
        <is>
          <t>🟠 High</t>
        </is>
      </c>
      <c r="D22" s="29" t="n">
        <v>0.5</v>
      </c>
      <c r="E22" s="26">
        <f>IF(B22&gt;D22,"⚠ YES","✓ NO")</f>
        <v/>
      </c>
      <c r="F22" s="26" t="inlineStr">
        <is>
          <t>Monitor Closely</t>
        </is>
      </c>
    </row>
    <row r="23" ht="20" customHeight="1">
      <c r="A23" s="5" t="inlineStr">
        <is>
          <t>Diabetes</t>
        </is>
      </c>
      <c r="B23" s="23" t="n">
        <v>0.0154</v>
      </c>
      <c r="C23" s="24" t="inlineStr">
        <is>
          <t>🟢 Normal</t>
        </is>
      </c>
      <c r="D23" s="25" t="n">
        <v>0.5</v>
      </c>
      <c r="E23" s="5">
        <f>IF(B23&gt;D23,"⚠ YES","✓ NO")</f>
        <v/>
      </c>
      <c r="F23" s="5" t="inlineStr">
        <is>
          <t>Standard Care</t>
        </is>
      </c>
    </row>
    <row r="24" ht="20" customHeight="1">
      <c r="A24" s="26" t="inlineStr">
        <is>
          <t>Fractured Leg</t>
        </is>
      </c>
      <c r="B24" s="27" t="n">
        <v>0</v>
      </c>
      <c r="C24" s="28" t="inlineStr">
        <is>
          <t>🟢 Normal</t>
        </is>
      </c>
      <c r="D24" s="29" t="n">
        <v>0.5</v>
      </c>
      <c r="E24" s="26">
        <f>IF(B24&gt;D24,"⚠ YES","✓ NO")</f>
        <v/>
      </c>
      <c r="F24" s="26" t="inlineStr">
        <is>
          <t>Standard Care</t>
        </is>
      </c>
    </row>
    <row r="25" ht="20" customHeight="1">
      <c r="A25" s="5" t="inlineStr">
        <is>
          <t>Childbirth</t>
        </is>
      </c>
      <c r="B25" s="23" t="n">
        <v>0</v>
      </c>
      <c r="C25" s="24" t="inlineStr">
        <is>
          <t>🟢 Normal</t>
        </is>
      </c>
      <c r="D25" s="25" t="n">
        <v>0.5</v>
      </c>
      <c r="E25" s="5">
        <f>IF(B25&gt;D25,"⚠ YES","✓ NO")</f>
        <v/>
      </c>
      <c r="F25" s="5" t="inlineStr">
        <is>
          <t>Standard Care</t>
        </is>
      </c>
    </row>
    <row r="26" ht="20" customHeight="1">
      <c r="A26" s="26" t="inlineStr">
        <is>
          <t>Allergic Reaction</t>
        </is>
      </c>
      <c r="B26" s="27" t="n">
        <v>0</v>
      </c>
      <c r="C26" s="28" t="inlineStr">
        <is>
          <t>🟢 Normal</t>
        </is>
      </c>
      <c r="D26" s="29" t="n">
        <v>0.5</v>
      </c>
      <c r="E26" s="26">
        <f>IF(B26&gt;D26,"⚠ YES","✓ NO")</f>
        <v/>
      </c>
      <c r="F26" s="26" t="inlineStr">
        <is>
          <t>Standard Care</t>
        </is>
      </c>
    </row>
    <row r="27" ht="20" customHeight="1">
      <c r="A27" s="5" t="inlineStr">
        <is>
          <t>Hypertension</t>
        </is>
      </c>
      <c r="B27" s="23" t="n">
        <v>0</v>
      </c>
      <c r="C27" s="24" t="inlineStr">
        <is>
          <t>🟢 Normal</t>
        </is>
      </c>
      <c r="D27" s="25" t="n">
        <v>0.5</v>
      </c>
      <c r="E27" s="5">
        <f>IF(B27&gt;D27,"⚠ YES","✓ NO")</f>
        <v/>
      </c>
      <c r="F27" s="5" t="inlineStr">
        <is>
          <t>Standard Care</t>
        </is>
      </c>
    </row>
    <row r="28" ht="20" customHeight="1">
      <c r="A28" s="26" t="inlineStr">
        <is>
          <t>Kidney Stones</t>
        </is>
      </c>
      <c r="B28" s="27" t="n">
        <v>0</v>
      </c>
      <c r="C28" s="28" t="inlineStr">
        <is>
          <t>🟢 Normal</t>
        </is>
      </c>
      <c r="D28" s="29" t="n">
        <v>0.5</v>
      </c>
      <c r="E28" s="26">
        <f>IF(B28&gt;D28,"⚠ YES","✓ NO")</f>
        <v/>
      </c>
      <c r="F28" s="26" t="inlineStr">
        <is>
          <t>Standard Care</t>
        </is>
      </c>
    </row>
    <row r="29" ht="20" customHeight="1">
      <c r="A29" s="5" t="inlineStr">
        <is>
          <t>Osteoarthritis</t>
        </is>
      </c>
      <c r="B29" s="23" t="n">
        <v>0</v>
      </c>
      <c r="C29" s="24" t="inlineStr">
        <is>
          <t>🟢 Normal</t>
        </is>
      </c>
      <c r="D29" s="25" t="n">
        <v>0.5</v>
      </c>
      <c r="E29" s="5">
        <f>IF(B29&gt;D29,"⚠ YES","✓ NO")</f>
        <v/>
      </c>
      <c r="F29" s="5" t="inlineStr">
        <is>
          <t>Standard Care</t>
        </is>
      </c>
    </row>
    <row r="30" ht="20" customHeight="1">
      <c r="A30" s="26" t="inlineStr">
        <is>
          <t>Prostate Cancer</t>
        </is>
      </c>
      <c r="B30" s="27" t="n">
        <v>0</v>
      </c>
      <c r="C30" s="28" t="inlineStr">
        <is>
          <t>🟢 Normal</t>
        </is>
      </c>
      <c r="D30" s="29" t="n">
        <v>0.5</v>
      </c>
      <c r="E30" s="26">
        <f>IF(B30&gt;D30,"⚠ YES","✓ NO")</f>
        <v/>
      </c>
      <c r="F30" s="26" t="inlineStr">
        <is>
          <t>Standard Care</t>
        </is>
      </c>
    </row>
    <row r="31" ht="20" customHeight="1">
      <c r="A31" s="5" t="inlineStr">
        <is>
          <t>Respiratory Infection</t>
        </is>
      </c>
      <c r="B31" s="23" t="n">
        <v>0</v>
      </c>
      <c r="C31" s="24" t="inlineStr">
        <is>
          <t>🟢 Normal</t>
        </is>
      </c>
      <c r="D31" s="25" t="n">
        <v>0.5</v>
      </c>
      <c r="E31" s="5">
        <f>IF(B31&gt;D31,"⚠ YES","✓ NO")</f>
        <v/>
      </c>
      <c r="F31" s="5" t="inlineStr">
        <is>
          <t>Standard Care</t>
        </is>
      </c>
    </row>
    <row r="32" ht="22" customHeight="1">
      <c r="A32" s="30" t="inlineStr">
        <is>
          <t>OVERALL AVG</t>
        </is>
      </c>
      <c r="B32" s="31">
        <f>AVERAGE(B17:B31)</f>
        <v/>
      </c>
      <c r="C32" s="32" t="n"/>
      <c r="D32" s="32" t="n"/>
      <c r="E32" s="32" t="n"/>
      <c r="F32" s="32" t="n"/>
    </row>
    <row r="34" ht="26" customHeight="1">
      <c r="A34" s="33" t="inlineStr">
        <is>
          <t xml:space="preserve">  PRED 3 · COST vs LENGTH OF STAY — REGRESSION MODEL</t>
        </is>
      </c>
    </row>
    <row r="35" ht="24" customHeight="1">
      <c r="A35" s="34" t="inlineStr">
        <is>
          <t>Condition</t>
        </is>
      </c>
      <c r="B35" s="34" t="inlineStr">
        <is>
          <t>Avg Stay (Days)</t>
        </is>
      </c>
      <c r="C35" s="34" t="inlineStr">
        <is>
          <t>Avg Cost ($)</t>
        </is>
      </c>
      <c r="D35" s="34" t="inlineStr">
        <is>
          <t>Predicted Cost</t>
        </is>
      </c>
      <c r="E35" s="34" t="inlineStr">
        <is>
          <t>Residual ($)</t>
        </is>
      </c>
      <c r="F35" s="34" t="inlineStr">
        <is>
          <t>R² Score</t>
        </is>
      </c>
      <c r="G35" s="34" t="inlineStr">
        <is>
          <t>Model</t>
        </is>
      </c>
    </row>
    <row r="36" ht="20" customHeight="1">
      <c r="A36" s="5" t="inlineStr">
        <is>
          <t>Allergic Reaction</t>
        </is>
      </c>
      <c r="B36" s="35" t="n">
        <v>34.24</v>
      </c>
      <c r="C36" s="6" t="n">
        <v>100</v>
      </c>
      <c r="D36" s="9" t="n">
        <v>8212.6</v>
      </c>
      <c r="E36" s="36">
        <f>C36-D36</f>
        <v/>
      </c>
      <c r="F36" s="8" t="n">
        <v>0.013</v>
      </c>
      <c r="G36" s="37" t="inlineStr">
        <is>
          <t>Linear Regression</t>
        </is>
      </c>
    </row>
    <row r="37" ht="20" customHeight="1">
      <c r="A37" s="38" t="inlineStr">
        <is>
          <t>Appendicitis</t>
        </is>
      </c>
      <c r="B37" s="39" t="n">
        <v>37.44</v>
      </c>
      <c r="C37" s="40" t="n">
        <v>8000</v>
      </c>
      <c r="D37" s="41" t="n">
        <v>8357.360000000001</v>
      </c>
      <c r="E37" s="42">
        <f>C37-D37</f>
        <v/>
      </c>
      <c r="F37" s="43" t="inlineStr"/>
      <c r="G37" s="44" t="inlineStr">
        <is>
          <t>Linear Regression</t>
        </is>
      </c>
    </row>
    <row r="38" ht="20" customHeight="1">
      <c r="A38" s="5" t="inlineStr">
        <is>
          <t>Cancer</t>
        </is>
      </c>
      <c r="B38" s="35" t="n">
        <v>42.65</v>
      </c>
      <c r="C38" s="6" t="n">
        <v>25000</v>
      </c>
      <c r="D38" s="9" t="n">
        <v>8593.049999999999</v>
      </c>
      <c r="E38" s="36">
        <f>C38-D38</f>
        <v/>
      </c>
      <c r="F38" s="45" t="inlineStr"/>
      <c r="G38" s="37" t="inlineStr">
        <is>
          <t>Linear Regression</t>
        </is>
      </c>
    </row>
    <row r="39" ht="20" customHeight="1">
      <c r="A39" s="38" t="inlineStr">
        <is>
          <t>Childbirth</t>
        </is>
      </c>
      <c r="B39" s="39" t="n">
        <v>35.52</v>
      </c>
      <c r="C39" s="40" t="n">
        <v>12000</v>
      </c>
      <c r="D39" s="41" t="n">
        <v>8270.51</v>
      </c>
      <c r="E39" s="42">
        <f>C39-D39</f>
        <v/>
      </c>
      <c r="F39" s="43" t="inlineStr"/>
      <c r="G39" s="44" t="inlineStr">
        <is>
          <t>Linear Regression</t>
        </is>
      </c>
    </row>
    <row r="40" ht="20" customHeight="1">
      <c r="A40" s="5" t="inlineStr">
        <is>
          <t>Diabetes</t>
        </is>
      </c>
      <c r="B40" s="35" t="n">
        <v>36.09</v>
      </c>
      <c r="C40" s="6" t="n">
        <v>2000</v>
      </c>
      <c r="D40" s="9" t="n">
        <v>8296.290000000001</v>
      </c>
      <c r="E40" s="36">
        <f>C40-D40</f>
        <v/>
      </c>
      <c r="F40" s="45" t="inlineStr"/>
      <c r="G40" s="37" t="inlineStr">
        <is>
          <t>Linear Regression</t>
        </is>
      </c>
    </row>
    <row r="41" ht="20" customHeight="1">
      <c r="A41" s="38" t="inlineStr">
        <is>
          <t>Fractured Arm</t>
        </is>
      </c>
      <c r="B41" s="39" t="n">
        <v>34.26</v>
      </c>
      <c r="C41" s="40" t="n">
        <v>500</v>
      </c>
      <c r="D41" s="41" t="n">
        <v>8213.51</v>
      </c>
      <c r="E41" s="42">
        <f>C41-D41</f>
        <v/>
      </c>
      <c r="F41" s="43" t="inlineStr"/>
      <c r="G41" s="44" t="inlineStr">
        <is>
          <t>Linear Regression</t>
        </is>
      </c>
    </row>
    <row r="42" ht="20" customHeight="1">
      <c r="A42" s="5" t="inlineStr">
        <is>
          <t>Fractured Leg</t>
        </is>
      </c>
      <c r="B42" s="35" t="n">
        <v>39</v>
      </c>
      <c r="C42" s="6" t="n">
        <v>3000</v>
      </c>
      <c r="D42" s="9" t="n">
        <v>8427.93</v>
      </c>
      <c r="E42" s="36">
        <f>C42-D42</f>
        <v/>
      </c>
      <c r="F42" s="45" t="inlineStr"/>
      <c r="G42" s="37" t="inlineStr">
        <is>
          <t>Linear Regression</t>
        </is>
      </c>
    </row>
    <row r="43" ht="20" customHeight="1">
      <c r="A43" s="38" t="inlineStr">
        <is>
          <t>Heart Attack</t>
        </is>
      </c>
      <c r="B43" s="39" t="n">
        <v>41</v>
      </c>
      <c r="C43" s="40" t="n">
        <v>18000</v>
      </c>
      <c r="D43" s="41" t="n">
        <v>8518.41</v>
      </c>
      <c r="E43" s="42">
        <f>C43-D43</f>
        <v/>
      </c>
      <c r="F43" s="43" t="inlineStr"/>
      <c r="G43" s="44" t="inlineStr">
        <is>
          <t>Linear Regression</t>
        </is>
      </c>
    </row>
    <row r="44" ht="20" customHeight="1">
      <c r="A44" s="5" t="inlineStr">
        <is>
          <t>Heart Disease</t>
        </is>
      </c>
      <c r="B44" s="35" t="n">
        <v>38.22</v>
      </c>
      <c r="C44" s="6" t="n">
        <v>15000</v>
      </c>
      <c r="D44" s="9" t="n">
        <v>8392.65</v>
      </c>
      <c r="E44" s="36">
        <f>C44-D44</f>
        <v/>
      </c>
      <c r="F44" s="45" t="inlineStr"/>
      <c r="G44" s="37" t="inlineStr">
        <is>
          <t>Linear Regression</t>
        </is>
      </c>
    </row>
    <row r="45" ht="20" customHeight="1">
      <c r="A45" s="38" t="inlineStr">
        <is>
          <t>Hypertension</t>
        </is>
      </c>
      <c r="B45" s="39" t="n">
        <v>35.52</v>
      </c>
      <c r="C45" s="40" t="n">
        <v>1000</v>
      </c>
      <c r="D45" s="41" t="n">
        <v>8270.51</v>
      </c>
      <c r="E45" s="42">
        <f>C45-D45</f>
        <v/>
      </c>
      <c r="F45" s="43" t="inlineStr"/>
      <c r="G45" s="44" t="inlineStr">
        <is>
          <t>Linear Regression</t>
        </is>
      </c>
    </row>
    <row r="46" ht="20" customHeight="1">
      <c r="A46" s="5" t="inlineStr">
        <is>
          <t>Kidney Stones</t>
        </is>
      </c>
      <c r="B46" s="35" t="n">
        <v>36.46</v>
      </c>
      <c r="C46" s="6" t="n">
        <v>6000</v>
      </c>
      <c r="D46" s="9" t="n">
        <v>8313.030000000001</v>
      </c>
      <c r="E46" s="36">
        <f>C46-D46</f>
        <v/>
      </c>
      <c r="F46" s="45" t="inlineStr"/>
      <c r="G46" s="37" t="inlineStr">
        <is>
          <t>Linear Regression</t>
        </is>
      </c>
    </row>
    <row r="47" ht="20" customHeight="1">
      <c r="A47" s="38" t="inlineStr">
        <is>
          <t>Osteoarthritis</t>
        </is>
      </c>
      <c r="B47" s="39" t="n">
        <v>37.86</v>
      </c>
      <c r="C47" s="40" t="n">
        <v>4000</v>
      </c>
      <c r="D47" s="41" t="n">
        <v>8376.360000000001</v>
      </c>
      <c r="E47" s="42">
        <f>C47-D47</f>
        <v/>
      </c>
      <c r="F47" s="43" t="inlineStr"/>
      <c r="G47" s="44" t="inlineStr">
        <is>
          <t>Linear Regression</t>
        </is>
      </c>
    </row>
    <row r="48" ht="20" customHeight="1">
      <c r="A48" s="5" t="inlineStr">
        <is>
          <t>Prostate Cancer</t>
        </is>
      </c>
      <c r="B48" s="35" t="n">
        <v>41.58</v>
      </c>
      <c r="C48" s="6" t="n">
        <v>20000</v>
      </c>
      <c r="D48" s="9" t="n">
        <v>8544.65</v>
      </c>
      <c r="E48" s="36">
        <f>C48-D48</f>
        <v/>
      </c>
      <c r="F48" s="45" t="inlineStr"/>
      <c r="G48" s="37" t="inlineStr">
        <is>
          <t>Linear Regression</t>
        </is>
      </c>
    </row>
    <row r="49" ht="20" customHeight="1">
      <c r="A49" s="38" t="inlineStr">
        <is>
          <t>Respiratory Infection</t>
        </is>
      </c>
      <c r="B49" s="39" t="n">
        <v>34.66</v>
      </c>
      <c r="C49" s="40" t="n">
        <v>800</v>
      </c>
      <c r="D49" s="41" t="n">
        <v>8231.6</v>
      </c>
      <c r="E49" s="42">
        <f>C49-D49</f>
        <v/>
      </c>
      <c r="F49" s="43" t="inlineStr"/>
      <c r="G49" s="44" t="inlineStr">
        <is>
          <t>Linear Regression</t>
        </is>
      </c>
    </row>
    <row r="50" ht="20" customHeight="1">
      <c r="A50" s="5" t="inlineStr">
        <is>
          <t>Stroke</t>
        </is>
      </c>
      <c r="B50" s="35" t="n">
        <v>40.33</v>
      </c>
      <c r="C50" s="6" t="n">
        <v>10000</v>
      </c>
      <c r="D50" s="9" t="n">
        <v>8488.1</v>
      </c>
      <c r="E50" s="36">
        <f>C50-D50</f>
        <v/>
      </c>
      <c r="F50" s="45" t="inlineStr"/>
      <c r="G50" s="37" t="inlineStr">
        <is>
          <t>Linear Regression</t>
        </is>
      </c>
    </row>
    <row r="51" ht="24" customHeight="1">
      <c r="A51" s="46" t="inlineStr">
        <is>
          <t>FORECAST @ 80 DAYS</t>
        </is>
      </c>
      <c r="B51" s="47" t="n">
        <v>80</v>
      </c>
      <c r="C51" s="48" t="n"/>
      <c r="D51" s="49" t="n">
        <v>10282.68</v>
      </c>
      <c r="E51" s="48" t="n"/>
      <c r="F51" s="50" t="inlineStr">
        <is>
          <t>Coeff: $45.2/day</t>
        </is>
      </c>
      <c r="G51" s="48" t="n"/>
    </row>
    <row r="53" ht="26" customHeight="1">
      <c r="A53" s="51" t="inlineStr">
        <is>
          <t xml:space="preserve">  PRED 5 · AVG COST HEATMAP — DISEASE × OUTCOME</t>
        </is>
      </c>
    </row>
    <row r="54" ht="24" customHeight="1">
      <c r="A54" s="52" t="inlineStr">
        <is>
          <t>Condition</t>
        </is>
      </c>
      <c r="B54" s="52" t="inlineStr">
        <is>
          <t>Recovered</t>
        </is>
      </c>
      <c r="C54" s="52" t="inlineStr">
        <is>
          <t>Stable</t>
        </is>
      </c>
      <c r="D54" s="52" t="inlineStr">
        <is>
          <t>Diff (Rec−Stable)</t>
        </is>
      </c>
    </row>
    <row r="55" ht="20" customHeight="1">
      <c r="A55" s="5" t="inlineStr">
        <is>
          <t>Allergic Reaction</t>
        </is>
      </c>
      <c r="B55" s="6" t="n">
        <v>100</v>
      </c>
      <c r="C55" s="32" t="n"/>
      <c r="D55" s="36">
        <f>IF(AND(ISNUMBER(B55),ISNUMBER(C55)),B55-C55,"N/A")</f>
        <v/>
      </c>
    </row>
    <row r="56" ht="20" customHeight="1">
      <c r="A56" s="53" t="inlineStr">
        <is>
          <t>Appendicitis</t>
        </is>
      </c>
      <c r="B56" s="54" t="n">
        <v>8000</v>
      </c>
      <c r="C56" s="55" t="n"/>
      <c r="D56" s="56">
        <f>IF(AND(ISNUMBER(B56),ISNUMBER(C56)),B56-C56,"N/A")</f>
        <v/>
      </c>
    </row>
    <row r="57" ht="20" customHeight="1">
      <c r="A57" s="5" t="inlineStr">
        <is>
          <t>Cancer</t>
        </is>
      </c>
      <c r="B57" s="6" t="n">
        <v>25000</v>
      </c>
      <c r="C57" s="32" t="n"/>
      <c r="D57" s="36">
        <f>IF(AND(ISNUMBER(B57),ISNUMBER(C57)),B57-C57,"N/A")</f>
        <v/>
      </c>
    </row>
    <row r="58" ht="20" customHeight="1">
      <c r="A58" s="53" t="inlineStr">
        <is>
          <t>Childbirth</t>
        </is>
      </c>
      <c r="B58" s="54" t="n">
        <v>12000</v>
      </c>
      <c r="C58" s="55" t="n"/>
      <c r="D58" s="56">
        <f>IF(AND(ISNUMBER(B58),ISNUMBER(C58)),B58-C58,"N/A")</f>
        <v/>
      </c>
    </row>
    <row r="59" ht="20" customHeight="1">
      <c r="A59" s="5" t="inlineStr">
        <is>
          <t>Diabetes</t>
        </is>
      </c>
      <c r="B59" s="32" t="n"/>
      <c r="C59" s="6" t="n">
        <v>2000</v>
      </c>
      <c r="D59" s="36">
        <f>IF(AND(ISNUMBER(B59),ISNUMBER(C59)),B59-C59,"N/A")</f>
        <v/>
      </c>
    </row>
    <row r="60" ht="20" customHeight="1">
      <c r="A60" s="53" t="inlineStr">
        <is>
          <t>Fractured Arm</t>
        </is>
      </c>
      <c r="B60" s="54" t="n">
        <v>500</v>
      </c>
      <c r="C60" s="55" t="n"/>
      <c r="D60" s="56">
        <f>IF(AND(ISNUMBER(B60),ISNUMBER(C60)),B60-C60,"N/A")</f>
        <v/>
      </c>
    </row>
    <row r="61" ht="20" customHeight="1">
      <c r="A61" s="5" t="inlineStr">
        <is>
          <t>Fractured Leg</t>
        </is>
      </c>
      <c r="B61" s="6" t="n">
        <v>3000</v>
      </c>
      <c r="C61" s="32" t="n"/>
      <c r="D61" s="36">
        <f>IF(AND(ISNUMBER(B61),ISNUMBER(C61)),B61-C61,"N/A")</f>
        <v/>
      </c>
    </row>
    <row r="62" ht="20" customHeight="1">
      <c r="A62" s="53" t="inlineStr">
        <is>
          <t>Heart Attack</t>
        </is>
      </c>
      <c r="B62" s="55" t="n"/>
      <c r="C62" s="54" t="n">
        <v>18000</v>
      </c>
      <c r="D62" s="56">
        <f>IF(AND(ISNUMBER(B62),ISNUMBER(C62)),B62-C62,"N/A")</f>
        <v/>
      </c>
    </row>
    <row r="63" ht="20" customHeight="1">
      <c r="A63" s="5" t="inlineStr">
        <is>
          <t>Heart Disease</t>
        </is>
      </c>
      <c r="B63" s="6" t="n">
        <v>15000</v>
      </c>
      <c r="C63" s="32" t="n"/>
      <c r="D63" s="36">
        <f>IF(AND(ISNUMBER(B63),ISNUMBER(C63)),B63-C63,"N/A")</f>
        <v/>
      </c>
    </row>
    <row r="64" ht="20" customHeight="1">
      <c r="A64" s="53" t="inlineStr">
        <is>
          <t>Hypertension</t>
        </is>
      </c>
      <c r="B64" s="55" t="n"/>
      <c r="C64" s="54" t="n">
        <v>1000</v>
      </c>
      <c r="D64" s="56">
        <f>IF(AND(ISNUMBER(B64),ISNUMBER(C64)),B64-C64,"N/A")</f>
        <v/>
      </c>
    </row>
    <row r="65" ht="20" customHeight="1">
      <c r="A65" s="5" t="inlineStr">
        <is>
          <t>Kidney Stones</t>
        </is>
      </c>
      <c r="B65" s="6" t="n">
        <v>6000</v>
      </c>
      <c r="C65" s="32" t="n"/>
      <c r="D65" s="36">
        <f>IF(AND(ISNUMBER(B65),ISNUMBER(C65)),B65-C65,"N/A")</f>
        <v/>
      </c>
    </row>
    <row r="66" ht="20" customHeight="1">
      <c r="A66" s="53" t="inlineStr">
        <is>
          <t>Osteoarthritis</t>
        </is>
      </c>
      <c r="B66" s="55" t="n"/>
      <c r="C66" s="54" t="n">
        <v>4000</v>
      </c>
      <c r="D66" s="56">
        <f>IF(AND(ISNUMBER(B66),ISNUMBER(C66)),B66-C66,"N/A")</f>
        <v/>
      </c>
    </row>
    <row r="67" ht="20" customHeight="1">
      <c r="A67" s="5" t="inlineStr">
        <is>
          <t>Prostate Cancer</t>
        </is>
      </c>
      <c r="B67" s="6" t="n">
        <v>20000</v>
      </c>
      <c r="C67" s="32" t="n"/>
      <c r="D67" s="36">
        <f>IF(AND(ISNUMBER(B67),ISNUMBER(C67)),B67-C67,"N/A")</f>
        <v/>
      </c>
    </row>
    <row r="68" ht="20" customHeight="1">
      <c r="A68" s="53" t="inlineStr">
        <is>
          <t>Respiratory Infection</t>
        </is>
      </c>
      <c r="B68" s="55" t="n"/>
      <c r="C68" s="54" t="n">
        <v>800</v>
      </c>
      <c r="D68" s="56">
        <f>IF(AND(ISNUMBER(B68),ISNUMBER(C68)),B68-C68,"N/A")</f>
        <v/>
      </c>
    </row>
    <row r="69" ht="20" customHeight="1">
      <c r="A69" s="5" t="inlineStr">
        <is>
          <t>Stroke</t>
        </is>
      </c>
      <c r="B69" s="32" t="n"/>
      <c r="C69" s="6" t="n">
        <v>10000</v>
      </c>
      <c r="D69" s="36">
        <f>IF(AND(ISNUMBER(B69),ISNUMBER(C69)),B69-C69,"N/A")</f>
        <v/>
      </c>
    </row>
    <row r="72" ht="26" customHeight="1">
      <c r="A72" s="57" t="inlineStr">
        <is>
          <t xml:space="preserve">  PRED 6 · MONTHLY PATIENT ADMISSION FORECAST (6-MONTH PROJECTION)</t>
        </is>
      </c>
    </row>
    <row r="73" ht="24" customHeight="1">
      <c r="A73" s="58" t="inlineStr">
        <is>
          <t>Month</t>
        </is>
      </c>
      <c r="B73" s="58" t="inlineStr">
        <is>
          <t>Label</t>
        </is>
      </c>
      <c r="C73" s="58" t="inlineStr">
        <is>
          <t>Historical</t>
        </is>
      </c>
      <c r="D73" s="58" t="inlineStr">
        <is>
          <t>Forecast</t>
        </is>
      </c>
      <c r="E73" s="58" t="inlineStr">
        <is>
          <t>CI Lower</t>
        </is>
      </c>
      <c r="F73" s="58" t="inlineStr">
        <is>
          <t>CI Upper</t>
        </is>
      </c>
      <c r="G73" s="58" t="inlineStr">
        <is>
          <t>Data Type</t>
        </is>
      </c>
    </row>
    <row r="74" ht="20" customHeight="1">
      <c r="A74" s="5" t="n">
        <v>1</v>
      </c>
      <c r="B74" s="24" t="inlineStr">
        <is>
          <t>Jan</t>
        </is>
      </c>
      <c r="C74" s="59" t="n">
        <v>79</v>
      </c>
      <c r="D74" s="37" t="inlineStr">
        <is>
          <t>—</t>
        </is>
      </c>
      <c r="E74" s="37" t="inlineStr">
        <is>
          <t>—</t>
        </is>
      </c>
      <c r="F74" s="37" t="inlineStr">
        <is>
          <t>—</t>
        </is>
      </c>
      <c r="G74" s="45" t="inlineStr">
        <is>
          <t>Historical</t>
        </is>
      </c>
    </row>
    <row r="75" ht="20" customHeight="1">
      <c r="A75" s="60" t="n">
        <v>2</v>
      </c>
      <c r="B75" s="61" t="inlineStr">
        <is>
          <t>Feb</t>
        </is>
      </c>
      <c r="C75" s="62" t="n">
        <v>93</v>
      </c>
      <c r="D75" s="63" t="inlineStr">
        <is>
          <t>—</t>
        </is>
      </c>
      <c r="E75" s="63" t="inlineStr">
        <is>
          <t>—</t>
        </is>
      </c>
      <c r="F75" s="63" t="inlineStr">
        <is>
          <t>—</t>
        </is>
      </c>
      <c r="G75" s="64" t="inlineStr">
        <is>
          <t>Historical</t>
        </is>
      </c>
    </row>
    <row r="76" ht="20" customHeight="1">
      <c r="A76" s="5" t="n">
        <v>3</v>
      </c>
      <c r="B76" s="24" t="inlineStr">
        <is>
          <t>Mar</t>
        </is>
      </c>
      <c r="C76" s="59" t="n">
        <v>68</v>
      </c>
      <c r="D76" s="37" t="inlineStr">
        <is>
          <t>—</t>
        </is>
      </c>
      <c r="E76" s="37" t="inlineStr">
        <is>
          <t>—</t>
        </is>
      </c>
      <c r="F76" s="37" t="inlineStr">
        <is>
          <t>—</t>
        </is>
      </c>
      <c r="G76" s="45" t="inlineStr">
        <is>
          <t>Historical</t>
        </is>
      </c>
    </row>
    <row r="77" ht="20" customHeight="1">
      <c r="A77" s="60" t="n">
        <v>4</v>
      </c>
      <c r="B77" s="61" t="inlineStr">
        <is>
          <t>Apr</t>
        </is>
      </c>
      <c r="C77" s="62" t="n">
        <v>93</v>
      </c>
      <c r="D77" s="63" t="inlineStr">
        <is>
          <t>—</t>
        </is>
      </c>
      <c r="E77" s="63" t="inlineStr">
        <is>
          <t>—</t>
        </is>
      </c>
      <c r="F77" s="63" t="inlineStr">
        <is>
          <t>—</t>
        </is>
      </c>
      <c r="G77" s="64" t="inlineStr">
        <is>
          <t>Historical</t>
        </is>
      </c>
    </row>
    <row r="78" ht="20" customHeight="1">
      <c r="A78" s="5" t="n">
        <v>5</v>
      </c>
      <c r="B78" s="24" t="inlineStr">
        <is>
          <t>May</t>
        </is>
      </c>
      <c r="C78" s="59" t="n">
        <v>94</v>
      </c>
      <c r="D78" s="37" t="inlineStr">
        <is>
          <t>—</t>
        </is>
      </c>
      <c r="E78" s="37" t="inlineStr">
        <is>
          <t>—</t>
        </is>
      </c>
      <c r="F78" s="37" t="inlineStr">
        <is>
          <t>—</t>
        </is>
      </c>
      <c r="G78" s="45" t="inlineStr">
        <is>
          <t>Historical</t>
        </is>
      </c>
    </row>
    <row r="79" ht="20" customHeight="1">
      <c r="A79" s="60" t="n">
        <v>6</v>
      </c>
      <c r="B79" s="61" t="inlineStr">
        <is>
          <t>Jun</t>
        </is>
      </c>
      <c r="C79" s="62" t="n">
        <v>82</v>
      </c>
      <c r="D79" s="63" t="inlineStr">
        <is>
          <t>—</t>
        </is>
      </c>
      <c r="E79" s="63" t="inlineStr">
        <is>
          <t>—</t>
        </is>
      </c>
      <c r="F79" s="63" t="inlineStr">
        <is>
          <t>—</t>
        </is>
      </c>
      <c r="G79" s="64" t="inlineStr">
        <is>
          <t>Historical</t>
        </is>
      </c>
    </row>
    <row r="80" ht="20" customHeight="1">
      <c r="A80" s="5" t="n">
        <v>7</v>
      </c>
      <c r="B80" s="24" t="inlineStr">
        <is>
          <t>Jul</t>
        </is>
      </c>
      <c r="C80" s="59" t="n">
        <v>80</v>
      </c>
      <c r="D80" s="37" t="inlineStr">
        <is>
          <t>—</t>
        </is>
      </c>
      <c r="E80" s="37" t="inlineStr">
        <is>
          <t>—</t>
        </is>
      </c>
      <c r="F80" s="37" t="inlineStr">
        <is>
          <t>—</t>
        </is>
      </c>
      <c r="G80" s="45" t="inlineStr">
        <is>
          <t>Historical</t>
        </is>
      </c>
    </row>
    <row r="81" ht="20" customHeight="1">
      <c r="A81" s="60" t="n">
        <v>8</v>
      </c>
      <c r="B81" s="61" t="inlineStr">
        <is>
          <t>Aug</t>
        </is>
      </c>
      <c r="C81" s="62" t="n">
        <v>87</v>
      </c>
      <c r="D81" s="63" t="inlineStr">
        <is>
          <t>—</t>
        </is>
      </c>
      <c r="E81" s="63" t="inlineStr">
        <is>
          <t>—</t>
        </is>
      </c>
      <c r="F81" s="63" t="inlineStr">
        <is>
          <t>—</t>
        </is>
      </c>
      <c r="G81" s="64" t="inlineStr">
        <is>
          <t>Historical</t>
        </is>
      </c>
    </row>
    <row r="82" ht="20" customHeight="1">
      <c r="A82" s="5" t="n">
        <v>9</v>
      </c>
      <c r="B82" s="24" t="inlineStr">
        <is>
          <t>Sep</t>
        </is>
      </c>
      <c r="C82" s="59" t="n">
        <v>86</v>
      </c>
      <c r="D82" s="37" t="inlineStr">
        <is>
          <t>—</t>
        </is>
      </c>
      <c r="E82" s="37" t="inlineStr">
        <is>
          <t>—</t>
        </is>
      </c>
      <c r="F82" s="37" t="inlineStr">
        <is>
          <t>—</t>
        </is>
      </c>
      <c r="G82" s="45" t="inlineStr">
        <is>
          <t>Historical</t>
        </is>
      </c>
    </row>
    <row r="83" ht="20" customHeight="1">
      <c r="A83" s="60" t="n">
        <v>10</v>
      </c>
      <c r="B83" s="61" t="inlineStr">
        <is>
          <t>Oct</t>
        </is>
      </c>
      <c r="C83" s="62" t="n">
        <v>82</v>
      </c>
      <c r="D83" s="63" t="inlineStr">
        <is>
          <t>—</t>
        </is>
      </c>
      <c r="E83" s="63" t="inlineStr">
        <is>
          <t>—</t>
        </is>
      </c>
      <c r="F83" s="63" t="inlineStr">
        <is>
          <t>—</t>
        </is>
      </c>
      <c r="G83" s="64" t="inlineStr">
        <is>
          <t>Historical</t>
        </is>
      </c>
    </row>
    <row r="84" ht="20" customHeight="1">
      <c r="A84" s="5" t="n">
        <v>11</v>
      </c>
      <c r="B84" s="24" t="inlineStr">
        <is>
          <t>Nov</t>
        </is>
      </c>
      <c r="C84" s="59" t="n">
        <v>85</v>
      </c>
      <c r="D84" s="37" t="inlineStr">
        <is>
          <t>—</t>
        </is>
      </c>
      <c r="E84" s="37" t="inlineStr">
        <is>
          <t>—</t>
        </is>
      </c>
      <c r="F84" s="37" t="inlineStr">
        <is>
          <t>—</t>
        </is>
      </c>
      <c r="G84" s="45" t="inlineStr">
        <is>
          <t>Historical</t>
        </is>
      </c>
    </row>
    <row r="85" ht="20" customHeight="1">
      <c r="A85" s="60" t="n">
        <v>12</v>
      </c>
      <c r="B85" s="61" t="inlineStr">
        <is>
          <t>Dec</t>
        </is>
      </c>
      <c r="C85" s="62" t="n">
        <v>82</v>
      </c>
      <c r="D85" s="63" t="inlineStr">
        <is>
          <t>—</t>
        </is>
      </c>
      <c r="E85" s="63" t="inlineStr">
        <is>
          <t>—</t>
        </is>
      </c>
      <c r="F85" s="63" t="inlineStr">
        <is>
          <t>—</t>
        </is>
      </c>
      <c r="G85" s="64" t="inlineStr">
        <is>
          <t>Historical</t>
        </is>
      </c>
    </row>
    <row r="86" ht="20" customHeight="1">
      <c r="A86" s="5" t="n">
        <v>13</v>
      </c>
      <c r="B86" s="24" t="inlineStr">
        <is>
          <t>Jan+1</t>
        </is>
      </c>
      <c r="C86" s="37" t="inlineStr">
        <is>
          <t>—</t>
        </is>
      </c>
      <c r="D86" s="65" t="n">
        <v>84.3</v>
      </c>
      <c r="E86" s="66">
        <f>D86-8</f>
        <v/>
      </c>
      <c r="F86" s="66">
        <f>D86+8</f>
        <v/>
      </c>
      <c r="G86" s="67" t="inlineStr">
        <is>
          <t>Projected ★</t>
        </is>
      </c>
    </row>
    <row r="87" ht="20" customHeight="1">
      <c r="A87" s="68" t="n">
        <v>14</v>
      </c>
      <c r="B87" s="69" t="inlineStr">
        <is>
          <t>Feb+1</t>
        </is>
      </c>
      <c r="C87" s="17" t="inlineStr">
        <is>
          <t>—</t>
        </is>
      </c>
      <c r="D87" s="70" t="n">
        <v>84.3</v>
      </c>
      <c r="E87" s="71">
        <f>D87-8</f>
        <v/>
      </c>
      <c r="F87" s="71">
        <f>D87+8</f>
        <v/>
      </c>
      <c r="G87" s="72" t="inlineStr">
        <is>
          <t>Projected ★</t>
        </is>
      </c>
    </row>
    <row r="88" ht="20" customHeight="1">
      <c r="A88" s="5" t="n">
        <v>15</v>
      </c>
      <c r="B88" s="24" t="inlineStr">
        <is>
          <t>Mar+1</t>
        </is>
      </c>
      <c r="C88" s="37" t="inlineStr">
        <is>
          <t>—</t>
        </is>
      </c>
      <c r="D88" s="65" t="n">
        <v>84.3</v>
      </c>
      <c r="E88" s="66">
        <f>D88-8</f>
        <v/>
      </c>
      <c r="F88" s="66">
        <f>D88+8</f>
        <v/>
      </c>
      <c r="G88" s="67" t="inlineStr">
        <is>
          <t>Projected ★</t>
        </is>
      </c>
    </row>
    <row r="89" ht="20" customHeight="1">
      <c r="A89" s="68" t="n">
        <v>16</v>
      </c>
      <c r="B89" s="69" t="inlineStr">
        <is>
          <t>Apr+1</t>
        </is>
      </c>
      <c r="C89" s="17" t="inlineStr">
        <is>
          <t>—</t>
        </is>
      </c>
      <c r="D89" s="70" t="n">
        <v>84.3</v>
      </c>
      <c r="E89" s="71">
        <f>D89-8</f>
        <v/>
      </c>
      <c r="F89" s="71">
        <f>D89+8</f>
        <v/>
      </c>
      <c r="G89" s="72" t="inlineStr">
        <is>
          <t>Projected ★</t>
        </is>
      </c>
    </row>
    <row r="90" ht="20" customHeight="1">
      <c r="A90" s="5" t="n">
        <v>17</v>
      </c>
      <c r="B90" s="24" t="inlineStr">
        <is>
          <t>May+1</t>
        </is>
      </c>
      <c r="C90" s="37" t="inlineStr">
        <is>
          <t>—</t>
        </is>
      </c>
      <c r="D90" s="65" t="n">
        <v>84.3</v>
      </c>
      <c r="E90" s="66">
        <f>D90-8</f>
        <v/>
      </c>
      <c r="F90" s="66">
        <f>D90+8</f>
        <v/>
      </c>
      <c r="G90" s="67" t="inlineStr">
        <is>
          <t>Projected ★</t>
        </is>
      </c>
    </row>
    <row r="91" ht="20" customHeight="1">
      <c r="A91" s="68" t="n">
        <v>18</v>
      </c>
      <c r="B91" s="69" t="inlineStr">
        <is>
          <t>Jun+1</t>
        </is>
      </c>
      <c r="C91" s="17" t="inlineStr">
        <is>
          <t>—</t>
        </is>
      </c>
      <c r="D91" s="70" t="n">
        <v>84.3</v>
      </c>
      <c r="E91" s="71">
        <f>D91-8</f>
        <v/>
      </c>
      <c r="F91" s="71">
        <f>D91+8</f>
        <v/>
      </c>
      <c r="G91" s="72" t="inlineStr">
        <is>
          <t>Projected ★</t>
        </is>
      </c>
    </row>
    <row r="92" ht="22" customHeight="1">
      <c r="A92" s="30" t="inlineStr">
        <is>
          <t>12-MONTH AVG</t>
        </is>
      </c>
      <c r="B92" s="32" t="n"/>
      <c r="C92" s="73">
        <f>AVERAGE(C74:C85)</f>
        <v/>
      </c>
      <c r="D92" s="74">
        <f>AVERAGE(D86:D91)</f>
        <v/>
      </c>
      <c r="E92" s="32" t="n"/>
      <c r="F92" s="32" t="n"/>
      <c r="G92" s="32" t="n"/>
    </row>
  </sheetData>
  <mergeCells count="7">
    <mergeCell ref="A53:E53"/>
    <mergeCell ref="A34:G34"/>
    <mergeCell ref="A2:N2"/>
    <mergeCell ref="A72:G72"/>
    <mergeCell ref="A4:F4"/>
    <mergeCell ref="A15:F15"/>
    <mergeCell ref="A1:N1"/>
  </mergeCells>
  <conditionalFormatting sqref="B17:B31">
    <cfRule type="colorScale" priority="1">
      <colorScale>
        <cfvo type="min"/>
        <cfvo type="max"/>
        <color rgb="00DCFCE7"/>
        <color rgb="00DC2626"/>
      </colorScale>
    </cfRule>
  </conditionalFormatting>
  <conditionalFormatting sqref="B55:C69">
    <cfRule type="colorScale" priority="2">
      <colorScale>
        <cfvo type="min"/>
        <cfvo type="max"/>
        <color rgb="00DCFCE7"/>
        <color rgb="00DC2626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2026-03-08T06:23:12Z</dcterms:created>
  <dcterms:modified xsi:type="dcterms:W3CDTF">2026-03-08T06:23:12Z</dcterms:modified>
</cp:coreProperties>
</file>