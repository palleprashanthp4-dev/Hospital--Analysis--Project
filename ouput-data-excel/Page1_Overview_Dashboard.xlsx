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93C5FD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22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59669"/>
      <sz val="10"/>
    </font>
    <font>
      <name val="Arial"/>
      <b val="1"/>
      <color rgb="00111827"/>
      <sz val="11"/>
    </font>
    <font>
      <name val="Arial"/>
      <b val="1"/>
      <color rgb="001E40AF"/>
      <sz val="11"/>
    </font>
    <font>
      <name val="Arial"/>
      <b val="1"/>
      <color rgb="00DC2626"/>
      <sz val="11"/>
    </font>
    <font>
      <name val="Arial"/>
      <b val="1"/>
      <color rgb="00059669"/>
      <sz val="11"/>
    </font>
    <font>
      <name val="Arial"/>
      <b val="1"/>
      <color rgb="00DC2626"/>
      <sz val="14"/>
    </font>
    <font>
      <name val="Arial"/>
      <b val="1"/>
      <color rgb="00D97706"/>
      <sz val="10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7C3AED"/>
      <sz val="11"/>
    </font>
  </fonts>
  <fills count="1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DC2626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D97706"/>
      </patternFill>
    </fill>
    <fill>
      <patternFill patternType="solid">
        <fgColor rgb="00EFF6FF"/>
      </patternFill>
    </fill>
    <fill>
      <patternFill patternType="solid">
        <fgColor rgb="007F1D1D"/>
      </patternFill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78350F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0" borderId="0" pivotButton="0" quotePrefix="0" xfId="0"/>
    <xf numFmtId="0" fontId="7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164" fontId="7" fillId="10" borderId="2" applyAlignment="1" pivotButton="0" quotePrefix="0" xfId="0">
      <alignment horizontal="center" vertical="center" wrapText="1"/>
    </xf>
    <xf numFmtId="0" fontId="9" fillId="0" borderId="0" pivotButton="0" quotePrefix="0" xfId="0"/>
    <xf numFmtId="3" fontId="10" fillId="0" borderId="0" pivotButton="0" quotePrefix="0" xfId="0"/>
    <xf numFmtId="164" fontId="10" fillId="0" borderId="0" pivotButton="0" quotePrefix="0" xfId="0"/>
    <xf numFmtId="0" fontId="3" fillId="11" borderId="0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164" fontId="11" fillId="10" borderId="2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164" fontId="13" fillId="10" borderId="2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0" borderId="2" pivotButton="0" quotePrefix="0" xfId="0"/>
    <xf numFmtId="3" fontId="7" fillId="0" borderId="2" pivotButton="0" quotePrefix="0" xfId="0"/>
    <xf numFmtId="164" fontId="7" fillId="0" borderId="2" pivotButton="0" quotePrefix="0" xfId="0"/>
    <xf numFmtId="0" fontId="8" fillId="0" borderId="2" pivotButton="0" quotePrefix="0" xfId="0"/>
    <xf numFmtId="0" fontId="7" fillId="13" borderId="2" pivotButton="0" quotePrefix="0" xfId="0"/>
    <xf numFmtId="3" fontId="7" fillId="13" borderId="2" pivotButton="0" quotePrefix="0" xfId="0"/>
    <xf numFmtId="164" fontId="7" fillId="13" borderId="2" pivotButton="0" quotePrefix="0" xfId="0"/>
    <xf numFmtId="0" fontId="14" fillId="13" borderId="2" pivotButton="0" quotePrefix="0" xfId="0"/>
    <xf numFmtId="0" fontId="9" fillId="0" borderId="2" pivotButton="0" quotePrefix="0" xfId="0"/>
    <xf numFmtId="3" fontId="10" fillId="0" borderId="2" pivotButton="0" quotePrefix="0" xfId="0"/>
    <xf numFmtId="0" fontId="0" fillId="0" borderId="2" pivotButton="0" quotePrefix="0" xfId="0"/>
    <xf numFmtId="0" fontId="3" fillId="14" borderId="0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 wrapText="1"/>
    </xf>
    <xf numFmtId="2" fontId="7" fillId="0" borderId="2" pivotButton="0" quotePrefix="0" xfId="0"/>
    <xf numFmtId="0" fontId="7" fillId="15" borderId="2" pivotButton="0" quotePrefix="0" xfId="0"/>
    <xf numFmtId="2" fontId="7" fillId="15" borderId="2" pivotButton="0" quotePrefix="0" xfId="0"/>
    <xf numFmtId="0" fontId="8" fillId="15" borderId="2" pivotButton="0" quotePrefix="0" xfId="0"/>
    <xf numFmtId="0" fontId="14" fillId="0" borderId="2" pivotButton="0" quotePrefix="0" xfId="0"/>
    <xf numFmtId="0" fontId="14" fillId="15" borderId="2" pivotButton="0" quotePrefix="0" xfId="0"/>
    <xf numFmtId="0" fontId="16" fillId="15" borderId="2" pivotButton="0" quotePrefix="0" xfId="0"/>
    <xf numFmtId="0" fontId="16" fillId="0" borderId="2" pivotButton="0" quotePrefix="0" xfId="0"/>
    <xf numFmtId="0" fontId="10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 · 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'Overview Dashboard'!B9</f>
            </strRef>
          </tx>
          <spPr>
            <a:ln>
              <a:prstDash val="solid"/>
            </a:ln>
          </spPr>
          <cat>
            <numRef>
              <f>'Overview Dashboard'!$A$10:$A$11</f>
            </numRef>
          </cat>
          <val>
            <numRef>
              <f>'Overview Dashboard'!$B$10:$B$11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 · Most Common Diseases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 Dashboard'!C26</f>
            </strRef>
          </tx>
          <spPr>
            <a:ln>
              <a:prstDash val="solid"/>
            </a:ln>
          </spPr>
          <cat>
            <numRef>
              <f>'Overview Dashboard'!$B$27:$B$41</f>
            </numRef>
          </cat>
          <val>
            <numRef>
              <f>'Overview Dashboard'!$C$27:$C$41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Patients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Condition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Q5 · Readmission Rate</a:t>
            </a:r>
          </a:p>
        </rich>
      </tx>
    </title>
    <plotArea>
      <pieChart>
        <varyColors val="1"/>
        <ser>
          <idx val="0"/>
          <order val="0"/>
          <tx>
            <strRef>
              <f>'Overview Dashboard'!B45</f>
            </strRef>
          </tx>
          <spPr>
            <a:ln>
              <a:prstDash val="solid"/>
            </a:ln>
          </spPr>
          <cat>
            <numRef>
              <f>'Overview Dashboard'!$A$46:$A$47</f>
            </numRef>
          </cat>
          <val>
            <numRef>
              <f>'Overview Dashboard'!$B$46:$B$47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Q8 · Avg Satisfaction by Disease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Dashboard'!B59</f>
            </strRef>
          </tx>
          <spPr>
            <a:ln>
              <a:prstDash val="solid"/>
            </a:ln>
          </spPr>
          <cat>
            <numRef>
              <f>'Overview Dashboard'!$A$60:$A$74</f>
            </numRef>
          </cat>
          <val>
            <numRef>
              <f>'Overview Dashboard'!$B$60:$B$74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Condition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24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43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57</row>
      <rowOff>0</rowOff>
    </from>
    <ext cx="720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L8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20" customWidth="1" min="5" max="5"/>
    <col width="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8" customHeight="1">
      <c r="A1" s="1" t="inlineStr">
        <is>
          <t>🏥  PAGE 1 — OVERVIEW DASHBOARD</t>
        </is>
      </c>
    </row>
    <row r="2" ht="20" customHeight="1">
      <c r="A2" s="2" t="inlineStr">
        <is>
          <t>Hospital Data Analysis  |  984 Patients  |  KPIs · Gender · Diseases · Readmission · Outcomes · Satisfaction · Age</t>
        </is>
      </c>
    </row>
    <row r="4" ht="26" customHeight="1">
      <c r="A4" s="3" t="inlineStr">
        <is>
          <t xml:space="preserve">  📌  KEY PERFORMANCE INDICATORS</t>
        </is>
      </c>
    </row>
    <row r="5" ht="20" customHeight="1">
      <c r="A5" s="4" t="inlineStr">
        <is>
          <t>Total Patients</t>
        </is>
      </c>
      <c r="C5" s="5" t="inlineStr">
        <is>
          <t>Readmission Rate</t>
        </is>
      </c>
      <c r="E5" s="6" t="inlineStr">
        <is>
          <t>Avg Treatment Cost</t>
        </is>
      </c>
      <c r="G5" s="7" t="inlineStr">
        <is>
          <t>Avg Length of Stay</t>
        </is>
      </c>
      <c r="I5" s="8" t="inlineStr">
        <is>
          <t>Recovery Rate</t>
        </is>
      </c>
      <c r="K5" s="9" t="inlineStr">
        <is>
          <t>Avg Satisfaction</t>
        </is>
      </c>
    </row>
    <row r="6" ht="36" customHeight="1">
      <c r="A6" s="10" t="inlineStr">
        <is>
          <t>984</t>
        </is>
      </c>
      <c r="C6" s="11" t="inlineStr">
        <is>
          <t>26.8%</t>
        </is>
      </c>
      <c r="E6" s="12" t="inlineStr">
        <is>
          <t>$8,367</t>
        </is>
      </c>
      <c r="G6" s="13" t="inlineStr">
        <is>
          <t>37.7 d</t>
        </is>
      </c>
      <c r="I6" s="14" t="inlineStr">
        <is>
          <t>60.1%</t>
        </is>
      </c>
      <c r="K6" s="15" t="inlineStr">
        <is>
          <t>3.60/5</t>
        </is>
      </c>
    </row>
    <row r="8" ht="26" customHeight="1">
      <c r="A8" s="16" t="inlineStr">
        <is>
          <t xml:space="preserve">  Q1 · GENDER DISTRIBUTION</t>
        </is>
      </c>
    </row>
    <row r="9" ht="24" customHeight="1">
      <c r="A9" s="17" t="inlineStr">
        <is>
          <t>Gender</t>
        </is>
      </c>
      <c r="B9" s="17" t="inlineStr">
        <is>
          <t>Patient Count</t>
        </is>
      </c>
      <c r="C9" s="17" t="inlineStr">
        <is>
          <t>Percentage</t>
        </is>
      </c>
      <c r="D9" s="17" t="inlineStr">
        <is>
          <t>Majority Gender</t>
        </is>
      </c>
      <c r="E9" s="17" t="inlineStr">
        <is>
          <t>Visits More</t>
        </is>
      </c>
    </row>
    <row r="10" ht="20" customHeight="1">
      <c r="A10" s="18" t="inlineStr">
        <is>
          <t>Female</t>
        </is>
      </c>
      <c r="B10" s="19" t="n">
        <v>524</v>
      </c>
      <c r="C10" s="20" t="n">
        <v>0.532520325203252</v>
      </c>
      <c r="D10" s="21">
        <f>IF(B10&gt;B11,A10,A11)</f>
        <v/>
      </c>
      <c r="E10" s="22" t="inlineStr">
        <is>
          <t>More Frequent</t>
        </is>
      </c>
    </row>
    <row r="11" ht="20" customHeight="1">
      <c r="A11" s="23" t="inlineStr">
        <is>
          <t>Male</t>
        </is>
      </c>
      <c r="B11" s="24" t="n">
        <v>460</v>
      </c>
      <c r="C11" s="25" t="n">
        <v>0.467479674796748</v>
      </c>
      <c r="D11" t="inlineStr"/>
      <c r="E11" t="inlineStr"/>
    </row>
    <row r="12">
      <c r="A12" s="26" t="inlineStr">
        <is>
          <t>TOTAL</t>
        </is>
      </c>
      <c r="B12" s="27">
        <f>SUM(B10:B11)</f>
        <v/>
      </c>
      <c r="C12" s="28">
        <f>SUM(C10:C11)</f>
        <v/>
      </c>
    </row>
    <row r="25" ht="26" customHeight="1">
      <c r="A25" s="16" t="inlineStr">
        <is>
          <t xml:space="preserve">  Q2 · MOST COMMON DISEASES</t>
        </is>
      </c>
    </row>
    <row r="26" ht="24" customHeight="1">
      <c r="A26" s="17" t="inlineStr">
        <is>
          <t>Rank</t>
        </is>
      </c>
      <c r="B26" s="17" t="inlineStr">
        <is>
          <t>Condition</t>
        </is>
      </c>
      <c r="C26" s="17" t="inlineStr">
        <is>
          <t>Patient Count</t>
        </is>
      </c>
      <c r="D26" s="17" t="inlineStr">
        <is>
          <t>% of Total</t>
        </is>
      </c>
      <c r="E26" s="17" t="inlineStr">
        <is>
          <t>Cumulative %</t>
        </is>
      </c>
    </row>
    <row r="27" ht="20" customHeight="1">
      <c r="A27" s="18" t="n">
        <v>1</v>
      </c>
      <c r="B27" s="19" t="inlineStr">
        <is>
          <t>Fractured Leg</t>
        </is>
      </c>
      <c r="C27" s="19" t="n">
        <v>67</v>
      </c>
      <c r="D27" s="20" t="n">
        <v>0.06808943089430894</v>
      </c>
      <c r="E27" s="20" t="n">
        <v>0.06808943089430894</v>
      </c>
    </row>
    <row r="28" ht="20" customHeight="1">
      <c r="A28" s="18" t="n">
        <v>2</v>
      </c>
      <c r="B28" s="19" t="inlineStr">
        <is>
          <t>Heart Attack</t>
        </is>
      </c>
      <c r="C28" s="19" t="n">
        <v>67</v>
      </c>
      <c r="D28" s="20" t="n">
        <v>0.06808943089430894</v>
      </c>
      <c r="E28" s="20" t="n">
        <v>0.1361788617886179</v>
      </c>
    </row>
    <row r="29" ht="20" customHeight="1">
      <c r="A29" s="18" t="n">
        <v>3</v>
      </c>
      <c r="B29" s="19" t="inlineStr">
        <is>
          <t>Fractured Arm</t>
        </is>
      </c>
      <c r="C29" s="19" t="n">
        <v>66</v>
      </c>
      <c r="D29" s="20" t="n">
        <v>0.06707317073170732</v>
      </c>
      <c r="E29" s="20" t="n">
        <v>0.2032520325203252</v>
      </c>
    </row>
    <row r="30" ht="20" customHeight="1">
      <c r="A30" s="18" t="n">
        <v>4</v>
      </c>
      <c r="B30" s="19" t="inlineStr">
        <is>
          <t>Hypertension</t>
        </is>
      </c>
      <c r="C30" s="19" t="n">
        <v>66</v>
      </c>
      <c r="D30" s="20" t="n">
        <v>0.06707317073170732</v>
      </c>
      <c r="E30" s="20" t="n">
        <v>0.2703252032520325</v>
      </c>
    </row>
    <row r="31" ht="20" customHeight="1">
      <c r="A31" s="18" t="n">
        <v>5</v>
      </c>
      <c r="B31" s="19" t="inlineStr">
        <is>
          <t>Appendicitis</t>
        </is>
      </c>
      <c r="C31" s="19" t="n">
        <v>66</v>
      </c>
      <c r="D31" s="20" t="n">
        <v>0.06707317073170732</v>
      </c>
      <c r="E31" s="20" t="n">
        <v>0.3373983739837398</v>
      </c>
    </row>
    <row r="32" ht="20" customHeight="1">
      <c r="A32" s="18" t="n">
        <v>6</v>
      </c>
      <c r="B32" s="19" t="inlineStr">
        <is>
          <t>Cancer</t>
        </is>
      </c>
      <c r="C32" s="19" t="n">
        <v>66</v>
      </c>
      <c r="D32" s="20" t="n">
        <v>0.06707317073170732</v>
      </c>
      <c r="E32" s="20" t="n">
        <v>0.4044715447154472</v>
      </c>
    </row>
    <row r="33" ht="20" customHeight="1">
      <c r="A33" s="18" t="n">
        <v>7</v>
      </c>
      <c r="B33" s="19" t="inlineStr">
        <is>
          <t>Stroke</t>
        </is>
      </c>
      <c r="C33" s="19" t="n">
        <v>66</v>
      </c>
      <c r="D33" s="20" t="n">
        <v>0.06707317073170732</v>
      </c>
      <c r="E33" s="20" t="n">
        <v>0.4715447154471545</v>
      </c>
    </row>
    <row r="34" ht="20" customHeight="1">
      <c r="A34" s="18" t="n">
        <v>8</v>
      </c>
      <c r="B34" s="19" t="inlineStr">
        <is>
          <t>Allergic Reaction</t>
        </is>
      </c>
      <c r="C34" s="19" t="n">
        <v>66</v>
      </c>
      <c r="D34" s="20" t="n">
        <v>0.06707317073170732</v>
      </c>
      <c r="E34" s="20" t="n">
        <v>0.5386178861788617</v>
      </c>
    </row>
    <row r="35" ht="20" customHeight="1">
      <c r="A35" s="18" t="n">
        <v>9</v>
      </c>
      <c r="B35" s="19" t="inlineStr">
        <is>
          <t>Diabetes</t>
        </is>
      </c>
      <c r="C35" s="19" t="n">
        <v>65</v>
      </c>
      <c r="D35" s="20" t="n">
        <v>0.06605691056910569</v>
      </c>
      <c r="E35" s="20" t="n">
        <v>0.6046747967479674</v>
      </c>
    </row>
    <row r="36" ht="20" customHeight="1">
      <c r="A36" s="18" t="n">
        <v>10</v>
      </c>
      <c r="B36" s="19" t="inlineStr">
        <is>
          <t>Heart Disease</t>
        </is>
      </c>
      <c r="C36" s="19" t="n">
        <v>65</v>
      </c>
      <c r="D36" s="20" t="n">
        <v>0.06605691056910569</v>
      </c>
      <c r="E36" s="20" t="n">
        <v>0.6707317073170731</v>
      </c>
    </row>
    <row r="37" ht="20" customHeight="1">
      <c r="A37" s="18" t="n">
        <v>11</v>
      </c>
      <c r="B37" s="19" t="inlineStr">
        <is>
          <t>Respiratory Infection</t>
        </is>
      </c>
      <c r="C37" s="19" t="n">
        <v>65</v>
      </c>
      <c r="D37" s="20" t="n">
        <v>0.06605691056910569</v>
      </c>
      <c r="E37" s="20" t="n">
        <v>0.7367886178861788</v>
      </c>
    </row>
    <row r="38" ht="20" customHeight="1">
      <c r="A38" s="18" t="n">
        <v>12</v>
      </c>
      <c r="B38" s="19" t="inlineStr">
        <is>
          <t>Prostate Cancer</t>
        </is>
      </c>
      <c r="C38" s="19" t="n">
        <v>65</v>
      </c>
      <c r="D38" s="20" t="n">
        <v>0.06605691056910569</v>
      </c>
      <c r="E38" s="20" t="n">
        <v>0.8028455284552845</v>
      </c>
    </row>
    <row r="39" ht="20" customHeight="1">
      <c r="A39" s="18" t="n">
        <v>13</v>
      </c>
      <c r="B39" s="19" t="inlineStr">
        <is>
          <t>Childbirth</t>
        </is>
      </c>
      <c r="C39" s="19" t="n">
        <v>65</v>
      </c>
      <c r="D39" s="20" t="n">
        <v>0.06605691056910569</v>
      </c>
      <c r="E39" s="20" t="n">
        <v>0.8689024390243901</v>
      </c>
    </row>
    <row r="40" ht="20" customHeight="1">
      <c r="A40" s="18" t="n">
        <v>14</v>
      </c>
      <c r="B40" s="19" t="inlineStr">
        <is>
          <t>Kidney Stones</t>
        </is>
      </c>
      <c r="C40" s="19" t="n">
        <v>65</v>
      </c>
      <c r="D40" s="20" t="n">
        <v>0.06605691056910569</v>
      </c>
      <c r="E40" s="20" t="n">
        <v>0.9349593495934958</v>
      </c>
    </row>
    <row r="41" ht="20" customHeight="1">
      <c r="A41" s="18" t="n">
        <v>15</v>
      </c>
      <c r="B41" s="19" t="inlineStr">
        <is>
          <t>Osteoarthritis</t>
        </is>
      </c>
      <c r="C41" s="19" t="n">
        <v>64</v>
      </c>
      <c r="D41" s="20" t="n">
        <v>0.06504065040650407</v>
      </c>
      <c r="E41" s="20" t="n">
        <v>0.9999999999999999</v>
      </c>
    </row>
    <row r="42">
      <c r="A42" s="26" t="inlineStr">
        <is>
          <t>TOTAL</t>
        </is>
      </c>
      <c r="C42" s="27">
        <f>SUM(C27:C41)</f>
        <v/>
      </c>
    </row>
    <row r="44" ht="26" customHeight="1">
      <c r="A44" s="29" t="inlineStr">
        <is>
          <t xml:space="preserve">  Q5 · READMISSION RATE</t>
        </is>
      </c>
    </row>
    <row r="45" ht="24" customHeight="1">
      <c r="A45" s="30" t="inlineStr">
        <is>
          <t>Metric</t>
        </is>
      </c>
      <c r="B45" s="30" t="inlineStr">
        <is>
          <t>Value</t>
        </is>
      </c>
      <c r="C45" s="30" t="inlineStr">
        <is>
          <t>Rate</t>
        </is>
      </c>
      <c r="D45" s="30" t="inlineStr">
        <is>
          <t>Status</t>
        </is>
      </c>
      <c r="E45" s="30" t="inlineStr">
        <is>
          <t>Note</t>
        </is>
      </c>
    </row>
    <row r="46" ht="20" customHeight="1">
      <c r="A46" s="18" t="inlineStr">
        <is>
          <t>Total Patients</t>
        </is>
      </c>
      <c r="B46" s="19" t="n">
        <v>984</v>
      </c>
      <c r="C46" s="19" t="inlineStr"/>
      <c r="D46" s="19" t="inlineStr">
        <is>
          <t>Baseline</t>
        </is>
      </c>
      <c r="E46" s="19" t="inlineStr"/>
    </row>
    <row r="47" ht="20" customHeight="1">
      <c r="A47" s="23" t="inlineStr">
        <is>
          <t>Readmitted (Yes)</t>
        </is>
      </c>
      <c r="B47" s="24" t="n">
        <v>264</v>
      </c>
      <c r="C47" s="31">
        <f>B47/B46</f>
        <v/>
      </c>
      <c r="D47" s="24" t="inlineStr">
        <is>
          <t>⚠ High</t>
        </is>
      </c>
      <c r="E47" s="24" t="inlineStr">
        <is>
          <t>Needs attention</t>
        </is>
      </c>
    </row>
    <row r="48" ht="20" customHeight="1">
      <c r="A48" s="18" t="inlineStr">
        <is>
          <t>Not Readmitted (No)</t>
        </is>
      </c>
      <c r="B48" s="19" t="n">
        <v>720</v>
      </c>
      <c r="C48" s="32">
        <f>B48/B46</f>
        <v/>
      </c>
      <c r="D48" s="19" t="inlineStr">
        <is>
          <t>✓ OK</t>
        </is>
      </c>
      <c r="E48" s="19" t="inlineStr"/>
    </row>
    <row r="49" ht="20" customHeight="1">
      <c r="A49" s="33" t="inlineStr">
        <is>
          <t>READMISSION RATE =</t>
        </is>
      </c>
      <c r="B49" s="34">
        <f>B47/B46</f>
        <v/>
      </c>
      <c r="C49" s="24" t="inlineStr"/>
      <c r="D49" s="24" t="inlineStr">
        <is>
          <t>26.8%</t>
        </is>
      </c>
      <c r="E49" s="24" t="inlineStr">
        <is>
          <t>Formula below</t>
        </is>
      </c>
    </row>
    <row r="52" ht="26" customHeight="1">
      <c r="A52" s="35" t="inlineStr">
        <is>
          <t xml:space="preserve">  Q6 · PATIENT RECOVERY OUTCOMES</t>
        </is>
      </c>
    </row>
    <row r="53" ht="24" customHeight="1">
      <c r="A53" s="36" t="inlineStr">
        <is>
          <t>Outcome</t>
        </is>
      </c>
      <c r="B53" s="36" t="inlineStr">
        <is>
          <t>Count</t>
        </is>
      </c>
      <c r="C53" s="36" t="inlineStr">
        <is>
          <t>Rate (%)</t>
        </is>
      </c>
      <c r="D53" s="36" t="inlineStr">
        <is>
          <t>Recovery Goal</t>
        </is>
      </c>
      <c r="E53" s="36" t="inlineStr">
        <is>
          <t>Status</t>
        </is>
      </c>
    </row>
    <row r="54" ht="20" customHeight="1">
      <c r="A54" s="37" t="inlineStr">
        <is>
          <t>Recovered</t>
        </is>
      </c>
      <c r="B54" s="38" t="n">
        <v>591</v>
      </c>
      <c r="C54" s="39">
        <f>B54/$B$56</f>
        <v/>
      </c>
      <c r="D54" s="37" t="inlineStr">
        <is>
          <t>≥ 60%</t>
        </is>
      </c>
      <c r="E54" s="40" t="inlineStr">
        <is>
          <t>✓ Met</t>
        </is>
      </c>
    </row>
    <row r="55" ht="20" customHeight="1">
      <c r="A55" s="41" t="inlineStr">
        <is>
          <t>Stable</t>
        </is>
      </c>
      <c r="B55" s="42" t="n">
        <v>393</v>
      </c>
      <c r="C55" s="43">
        <f>B55/$B$56</f>
        <v/>
      </c>
      <c r="D55" s="41" t="inlineStr">
        <is>
          <t>≥ 60%</t>
        </is>
      </c>
      <c r="E55" s="44" t="inlineStr">
        <is>
          <t>○ Monitor</t>
        </is>
      </c>
    </row>
    <row r="56" ht="20" customHeight="1">
      <c r="A56" s="45" t="inlineStr">
        <is>
          <t>TOTAL</t>
        </is>
      </c>
      <c r="B56" s="46">
        <f>SUM(B54:B55)</f>
        <v/>
      </c>
      <c r="C56" s="47" t="n"/>
      <c r="D56" s="47" t="n"/>
      <c r="E56" s="47" t="n"/>
    </row>
    <row r="58" ht="26" customHeight="1">
      <c r="A58" s="48" t="inlineStr">
        <is>
          <t xml:space="preserve">  Q8 · PATIENT SATISFACTION SCORES</t>
        </is>
      </c>
    </row>
    <row r="59" ht="24" customHeight="1">
      <c r="A59" s="49" t="inlineStr">
        <is>
          <t>Condition</t>
        </is>
      </c>
      <c r="B59" s="49" t="inlineStr">
        <is>
          <t>Avg Score</t>
        </is>
      </c>
      <c r="C59" s="49" t="inlineStr">
        <is>
          <t>Grade</t>
        </is>
      </c>
      <c r="D59" s="49" t="inlineStr">
        <is>
          <t>Benchmark</t>
        </is>
      </c>
      <c r="E59" s="49" t="inlineStr">
        <is>
          <t>Above Avg?</t>
        </is>
      </c>
    </row>
    <row r="60" ht="20" customHeight="1">
      <c r="A60" s="37" t="inlineStr">
        <is>
          <t>Allergic Reaction</t>
        </is>
      </c>
      <c r="B60" s="50" t="n">
        <v>5</v>
      </c>
      <c r="C60" s="40" t="inlineStr">
        <is>
          <t>Excellent</t>
        </is>
      </c>
      <c r="D60" s="50" t="inlineStr">
        <is>
          <t>3.60</t>
        </is>
      </c>
      <c r="E60" s="37">
        <f>IF(B60&gt;D60,"✓ Yes","✗ No")</f>
        <v/>
      </c>
    </row>
    <row r="61" ht="20" customHeight="1">
      <c r="A61" s="51" t="inlineStr">
        <is>
          <t>Fractured Arm</t>
        </is>
      </c>
      <c r="B61" s="52" t="n">
        <v>5</v>
      </c>
      <c r="C61" s="53" t="inlineStr">
        <is>
          <t>Excellent</t>
        </is>
      </c>
      <c r="D61" s="52" t="inlineStr">
        <is>
          <t>3.60</t>
        </is>
      </c>
      <c r="E61" s="51">
        <f>IF(B61&gt;D61,"✓ Yes","✗ No")</f>
        <v/>
      </c>
    </row>
    <row r="62" ht="20" customHeight="1">
      <c r="A62" s="37" t="inlineStr">
        <is>
          <t>Cancer</t>
        </is>
      </c>
      <c r="B62" s="50" t="n">
        <v>4</v>
      </c>
      <c r="C62" s="40" t="inlineStr">
        <is>
          <t>Excellent</t>
        </is>
      </c>
      <c r="D62" s="50" t="inlineStr">
        <is>
          <t>3.60</t>
        </is>
      </c>
      <c r="E62" s="37">
        <f>IF(B62&gt;D62,"✓ Yes","✗ No")</f>
        <v/>
      </c>
    </row>
    <row r="63" ht="20" customHeight="1">
      <c r="A63" s="51" t="inlineStr">
        <is>
          <t>Fractured Leg</t>
        </is>
      </c>
      <c r="B63" s="52" t="n">
        <v>4</v>
      </c>
      <c r="C63" s="53" t="inlineStr">
        <is>
          <t>Excellent</t>
        </is>
      </c>
      <c r="D63" s="52" t="inlineStr">
        <is>
          <t>3.60</t>
        </is>
      </c>
      <c r="E63" s="51">
        <f>IF(B63&gt;D63,"✓ Yes","✗ No")</f>
        <v/>
      </c>
    </row>
    <row r="64" ht="20" customHeight="1">
      <c r="A64" s="37" t="inlineStr">
        <is>
          <t>Childbirth</t>
        </is>
      </c>
      <c r="B64" s="50" t="n">
        <v>4</v>
      </c>
      <c r="C64" s="40" t="inlineStr">
        <is>
          <t>Excellent</t>
        </is>
      </c>
      <c r="D64" s="50" t="inlineStr">
        <is>
          <t>3.60</t>
        </is>
      </c>
      <c r="E64" s="37">
        <f>IF(B64&gt;D64,"✓ Yes","✗ No")</f>
        <v/>
      </c>
    </row>
    <row r="65" ht="20" customHeight="1">
      <c r="A65" s="51" t="inlineStr">
        <is>
          <t>Osteoarthritis</t>
        </is>
      </c>
      <c r="B65" s="52" t="n">
        <v>4</v>
      </c>
      <c r="C65" s="53" t="inlineStr">
        <is>
          <t>Excellent</t>
        </is>
      </c>
      <c r="D65" s="52" t="inlineStr">
        <is>
          <t>3.60</t>
        </is>
      </c>
      <c r="E65" s="51">
        <f>IF(B65&gt;D65,"✓ Yes","✗ No")</f>
        <v/>
      </c>
    </row>
    <row r="66" ht="20" customHeight="1">
      <c r="A66" s="37" t="inlineStr">
        <is>
          <t>Hypertension</t>
        </is>
      </c>
      <c r="B66" s="50" t="n">
        <v>4</v>
      </c>
      <c r="C66" s="40" t="inlineStr">
        <is>
          <t>Excellent</t>
        </is>
      </c>
      <c r="D66" s="50" t="inlineStr">
        <is>
          <t>3.60</t>
        </is>
      </c>
      <c r="E66" s="37">
        <f>IF(B66&gt;D66,"✓ Yes","✗ No")</f>
        <v/>
      </c>
    </row>
    <row r="67" ht="20" customHeight="1">
      <c r="A67" s="51" t="inlineStr">
        <is>
          <t>Respiratory Infection</t>
        </is>
      </c>
      <c r="B67" s="52" t="n">
        <v>4</v>
      </c>
      <c r="C67" s="53" t="inlineStr">
        <is>
          <t>Excellent</t>
        </is>
      </c>
      <c r="D67" s="52" t="inlineStr">
        <is>
          <t>3.60</t>
        </is>
      </c>
      <c r="E67" s="51">
        <f>IF(B67&gt;D67,"✓ Yes","✗ No")</f>
        <v/>
      </c>
    </row>
    <row r="68" ht="20" customHeight="1">
      <c r="A68" s="37" t="inlineStr">
        <is>
          <t>Diabetes</t>
        </is>
      </c>
      <c r="B68" s="50" t="n">
        <v>3.51</v>
      </c>
      <c r="C68" s="54" t="inlineStr">
        <is>
          <t>Good</t>
        </is>
      </c>
      <c r="D68" s="50" t="inlineStr">
        <is>
          <t>3.60</t>
        </is>
      </c>
      <c r="E68" s="37">
        <f>IF(B68&gt;D68,"✓ Yes","✗ No")</f>
        <v/>
      </c>
    </row>
    <row r="69" ht="20" customHeight="1">
      <c r="A69" s="51" t="inlineStr">
        <is>
          <t>Heart Disease</t>
        </is>
      </c>
      <c r="B69" s="52" t="n">
        <v>3.49</v>
      </c>
      <c r="C69" s="55" t="inlineStr">
        <is>
          <t>Good</t>
        </is>
      </c>
      <c r="D69" s="52" t="inlineStr">
        <is>
          <t>3.60</t>
        </is>
      </c>
      <c r="E69" s="51">
        <f>IF(B69&gt;D69,"✓ Yes","✗ No")</f>
        <v/>
      </c>
    </row>
    <row r="70" ht="20" customHeight="1">
      <c r="A70" s="37" t="inlineStr">
        <is>
          <t>Appendicitis</t>
        </is>
      </c>
      <c r="B70" s="50" t="n">
        <v>3</v>
      </c>
      <c r="C70" s="54" t="inlineStr">
        <is>
          <t>Good</t>
        </is>
      </c>
      <c r="D70" s="50" t="inlineStr">
        <is>
          <t>3.60</t>
        </is>
      </c>
      <c r="E70" s="37">
        <f>IF(B70&gt;D70,"✓ Yes","✗ No")</f>
        <v/>
      </c>
    </row>
    <row r="71" ht="20" customHeight="1">
      <c r="A71" s="51" t="inlineStr">
        <is>
          <t>Prostate Cancer</t>
        </is>
      </c>
      <c r="B71" s="52" t="n">
        <v>3</v>
      </c>
      <c r="C71" s="55" t="inlineStr">
        <is>
          <t>Good</t>
        </is>
      </c>
      <c r="D71" s="52" t="inlineStr">
        <is>
          <t>3.60</t>
        </is>
      </c>
      <c r="E71" s="51">
        <f>IF(B71&gt;D71,"✓ Yes","✗ No")</f>
        <v/>
      </c>
    </row>
    <row r="72" ht="20" customHeight="1">
      <c r="A72" s="37" t="inlineStr">
        <is>
          <t>Kidney Stones</t>
        </is>
      </c>
      <c r="B72" s="50" t="n">
        <v>3</v>
      </c>
      <c r="C72" s="54" t="inlineStr">
        <is>
          <t>Good</t>
        </is>
      </c>
      <c r="D72" s="50" t="inlineStr">
        <is>
          <t>3.60</t>
        </is>
      </c>
      <c r="E72" s="37">
        <f>IF(B72&gt;D72,"✓ Yes","✗ No")</f>
        <v/>
      </c>
    </row>
    <row r="73" ht="20" customHeight="1">
      <c r="A73" s="51" t="inlineStr">
        <is>
          <t>Heart Attack</t>
        </is>
      </c>
      <c r="B73" s="52" t="n">
        <v>2</v>
      </c>
      <c r="C73" s="56" t="inlineStr">
        <is>
          <t>Poor</t>
        </is>
      </c>
      <c r="D73" s="52" t="inlineStr">
        <is>
          <t>3.60</t>
        </is>
      </c>
      <c r="E73" s="51">
        <f>IF(B73&gt;D73,"✓ Yes","✗ No")</f>
        <v/>
      </c>
    </row>
    <row r="74" ht="20" customHeight="1">
      <c r="A74" s="37" t="inlineStr">
        <is>
          <t>Stroke</t>
        </is>
      </c>
      <c r="B74" s="50" t="n">
        <v>2</v>
      </c>
      <c r="C74" s="57" t="inlineStr">
        <is>
          <t>Poor</t>
        </is>
      </c>
      <c r="D74" s="50" t="inlineStr">
        <is>
          <t>3.60</t>
        </is>
      </c>
      <c r="E74" s="37">
        <f>IF(B74&gt;D74,"✓ Yes","✗ No")</f>
        <v/>
      </c>
    </row>
    <row r="76" ht="26" customHeight="1">
      <c r="A76" s="16" t="inlineStr">
        <is>
          <t xml:space="preserve">  AGE DISTRIBUTION</t>
        </is>
      </c>
    </row>
    <row r="77" ht="24" customHeight="1">
      <c r="A77" s="17" t="inlineStr">
        <is>
          <t>Age Group</t>
        </is>
      </c>
      <c r="B77" s="17" t="inlineStr">
        <is>
          <t>Patient Count</t>
        </is>
      </c>
      <c r="C77" s="17" t="inlineStr">
        <is>
          <t>% of Total</t>
        </is>
      </c>
      <c r="D77" s="17" t="inlineStr">
        <is>
          <t>Cumulative %</t>
        </is>
      </c>
      <c r="E77" s="17" t="inlineStr">
        <is>
          <t>Age Band</t>
        </is>
      </c>
    </row>
    <row r="78" ht="20" customHeight="1">
      <c r="A78" s="18" t="inlineStr">
        <is>
          <t>25-34</t>
        </is>
      </c>
      <c r="B78" s="19" t="n">
        <v>132</v>
      </c>
      <c r="C78" s="20" t="n">
        <v>0.1341463414634146</v>
      </c>
      <c r="D78" s="20" t="n">
        <v>0.1341463414634146</v>
      </c>
      <c r="E78" s="19" t="inlineStr">
        <is>
          <t>Young Adult</t>
        </is>
      </c>
    </row>
    <row r="79" ht="20" customHeight="1">
      <c r="A79" s="18" t="inlineStr">
        <is>
          <t>35-44</t>
        </is>
      </c>
      <c r="B79" s="19" t="n">
        <v>99</v>
      </c>
      <c r="C79" s="20" t="n">
        <v>0.100609756097561</v>
      </c>
      <c r="D79" s="20" t="n">
        <v>0.2347560975609756</v>
      </c>
      <c r="E79" s="19" t="inlineStr">
        <is>
          <t>Young Adult</t>
        </is>
      </c>
    </row>
    <row r="80" ht="20" customHeight="1">
      <c r="A80" s="18" t="inlineStr">
        <is>
          <t>45-54</t>
        </is>
      </c>
      <c r="B80" s="19" t="n">
        <v>229</v>
      </c>
      <c r="C80" s="20" t="n">
        <v>0.2327235772357724</v>
      </c>
      <c r="D80" s="20" t="n">
        <v>0.467479674796748</v>
      </c>
      <c r="E80" s="19" t="inlineStr">
        <is>
          <t>Middle Age</t>
        </is>
      </c>
    </row>
    <row r="81" ht="20" customHeight="1">
      <c r="A81" s="18" t="inlineStr">
        <is>
          <t>55-64</t>
        </is>
      </c>
      <c r="B81" s="19" t="n">
        <v>229</v>
      </c>
      <c r="C81" s="20" t="n">
        <v>0.2327235772357724</v>
      </c>
      <c r="D81" s="20" t="n">
        <v>0.7002032520325203</v>
      </c>
      <c r="E81" s="19" t="inlineStr">
        <is>
          <t>Middle Age</t>
        </is>
      </c>
    </row>
    <row r="82" ht="20" customHeight="1">
      <c r="A82" s="18" t="inlineStr">
        <is>
          <t>65-78</t>
        </is>
      </c>
      <c r="B82" s="19" t="n">
        <v>295</v>
      </c>
      <c r="C82" s="20" t="n">
        <v>0.2997967479674797</v>
      </c>
      <c r="D82" s="20" t="n">
        <v>1</v>
      </c>
      <c r="E82" s="19" t="inlineStr">
        <is>
          <t>Senior</t>
        </is>
      </c>
    </row>
    <row r="83">
      <c r="A83" s="26" t="inlineStr">
        <is>
          <t>Mean Age</t>
        </is>
      </c>
      <c r="B83" s="58" t="n">
        <v>53.8</v>
      </c>
    </row>
    <row r="84">
      <c r="A84" s="26" t="inlineStr">
        <is>
          <t>Std Dev</t>
        </is>
      </c>
      <c r="B84" s="59" t="n">
        <v>14.9</v>
      </c>
    </row>
  </sheetData>
  <mergeCells count="21">
    <mergeCell ref="C6:D6"/>
    <mergeCell ref="I6:J6"/>
    <mergeCell ref="C5:D5"/>
    <mergeCell ref="E5:F5"/>
    <mergeCell ref="K5:L5"/>
    <mergeCell ref="A6:B6"/>
    <mergeCell ref="A2:L2"/>
    <mergeCell ref="A25:E25"/>
    <mergeCell ref="G6:H6"/>
    <mergeCell ref="A4:L4"/>
    <mergeCell ref="E6:F6"/>
    <mergeCell ref="A76:E76"/>
    <mergeCell ref="A5:B5"/>
    <mergeCell ref="G5:H5"/>
    <mergeCell ref="K6:L6"/>
    <mergeCell ref="I5:J5"/>
    <mergeCell ref="A8:E8"/>
    <mergeCell ref="A52:E52"/>
    <mergeCell ref="A1:L1"/>
    <mergeCell ref="A44:E44"/>
    <mergeCell ref="A58:E58"/>
  </mergeCells>
  <conditionalFormatting sqref="C27:C41">
    <cfRule type="dataBar" priority="1">
      <dataBar showValue="1">
        <cfvo type="min"/>
        <cfvo type="max"/>
        <color rgb="001A56D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2026-03-08T06:23:11Z</dcterms:created>
  <dcterms:modified xsi:type="dcterms:W3CDTF">2026-03-08T06:23:11Z</dcterms:modified>
</cp:coreProperties>
</file>